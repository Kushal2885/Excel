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E:\Excel\"/>
    </mc:Choice>
  </mc:AlternateContent>
  <xr:revisionPtr revIDLastSave="0" documentId="13_ncr:1_{736C856E-14B8-4DE7-9C34-BF6D372E0EF2}" xr6:coauthVersionLast="47" xr6:coauthVersionMax="47" xr10:uidLastSave="{00000000-0000-0000-0000-000000000000}"/>
  <bookViews>
    <workbookView xWindow="-108" yWindow="-108" windowWidth="23256" windowHeight="13176" xr2:uid="{00000000-000D-0000-FFFF-FFFF00000000}"/>
  </bookViews>
  <sheets>
    <sheet name="Dashboard" sheetId="8" r:id="rId1"/>
    <sheet name="Project Instructions" sheetId="1" r:id="rId2"/>
    <sheet name="Final Project Dataset" sheetId="2" r:id="rId3"/>
    <sheet name="Sheet1" sheetId="3" r:id="rId4"/>
    <sheet name="Sheet3" sheetId="5" r:id="rId5"/>
    <sheet name="Sheet4" sheetId="6" r:id="rId6"/>
    <sheet name="Sheet5" sheetId="7" r:id="rId7"/>
  </sheets>
  <definedNames>
    <definedName name="Slicer_Months__Date">#N/A</definedName>
  </definedNames>
  <calcPr calcId="191029"/>
  <pivotCaches>
    <pivotCache cacheId="0" r:id="rId8"/>
    <pivotCache cacheId="1" r:id="rId9"/>
    <pivotCache cacheId="2" r:id="rId10"/>
    <pivotCache cacheId="3"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3" i="2" l="1"/>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 i="2"/>
  <c r="V2" i="2" a="1"/>
  <c r="V2" i="2" s="1"/>
  <c r="V3" i="2" a="1"/>
  <c r="V3" i="2" s="1"/>
  <c r="V4" i="2" a="1"/>
  <c r="V4" i="2"/>
  <c r="V5" i="2" a="1"/>
  <c r="V5" i="2" s="1"/>
  <c r="V6" i="2" a="1"/>
  <c r="V6" i="2" s="1"/>
  <c r="V7" i="2" a="1"/>
  <c r="V7" i="2" s="1"/>
  <c r="V8" i="2" a="1"/>
  <c r="V8" i="2" s="1"/>
  <c r="V9" i="2" a="1"/>
  <c r="V9" i="2"/>
  <c r="V10" i="2" a="1"/>
  <c r="V10" i="2" s="1"/>
  <c r="V11" i="2" a="1"/>
  <c r="V11" i="2" s="1"/>
  <c r="V12" i="2" a="1"/>
  <c r="V12" i="2" s="1"/>
  <c r="V13" i="2" a="1"/>
  <c r="V13" i="2" s="1"/>
  <c r="V14" i="2" a="1"/>
  <c r="V14" i="2" s="1"/>
  <c r="V15" i="2" a="1"/>
  <c r="V15" i="2" s="1"/>
  <c r="V16" i="2" a="1"/>
  <c r="V16" i="2"/>
  <c r="V17" i="2" a="1"/>
  <c r="V17" i="2" s="1"/>
  <c r="V18" i="2" a="1"/>
  <c r="V18" i="2" s="1"/>
  <c r="V19" i="2" a="1"/>
  <c r="V19" i="2"/>
  <c r="V20" i="2" a="1"/>
  <c r="V20" i="2" s="1"/>
  <c r="V21" i="2" a="1"/>
  <c r="V21" i="2"/>
  <c r="V22" i="2" a="1"/>
  <c r="V22" i="2" s="1"/>
  <c r="V23" i="2" a="1"/>
  <c r="V23" i="2" s="1"/>
  <c r="V24" i="2" a="1"/>
  <c r="V24" i="2" s="1"/>
  <c r="V25" i="2" a="1"/>
  <c r="V25" i="2" s="1"/>
  <c r="V26" i="2" a="1"/>
  <c r="V26" i="2" s="1"/>
  <c r="V27" i="2" a="1"/>
  <c r="V27" i="2" s="1"/>
  <c r="V28" i="2" a="1"/>
  <c r="V28" i="2" s="1"/>
  <c r="V29" i="2" a="1"/>
  <c r="V29" i="2"/>
  <c r="V30" i="2" a="1"/>
  <c r="V30" i="2" s="1"/>
  <c r="V31" i="2" a="1"/>
  <c r="V31" i="2"/>
  <c r="V32" i="2" a="1"/>
  <c r="V32" i="2" s="1"/>
  <c r="V33" i="2" a="1"/>
  <c r="V33" i="2" s="1"/>
  <c r="V34" i="2" a="1"/>
  <c r="V34" i="2" s="1"/>
  <c r="V35" i="2" a="1"/>
  <c r="V35" i="2"/>
  <c r="V36" i="2" a="1"/>
  <c r="V36" i="2"/>
  <c r="V37" i="2" a="1"/>
  <c r="V37" i="2" s="1"/>
  <c r="V38" i="2" a="1"/>
  <c r="V38" i="2"/>
  <c r="V39" i="2" a="1"/>
  <c r="V39" i="2" s="1"/>
  <c r="V40" i="2" a="1"/>
  <c r="V40" i="2" s="1"/>
  <c r="V41" i="2" a="1"/>
  <c r="V41" i="2" s="1"/>
  <c r="V42" i="2" a="1"/>
  <c r="V42" i="2" s="1"/>
  <c r="V43" i="2" a="1"/>
  <c r="V43" i="2" s="1"/>
  <c r="V44" i="2" a="1"/>
  <c r="V44" i="2" s="1"/>
  <c r="V45" i="2" a="1"/>
  <c r="V45" i="2" s="1"/>
  <c r="V46" i="2" a="1"/>
  <c r="V46" i="2"/>
  <c r="V47" i="2" a="1"/>
  <c r="V47" i="2" s="1"/>
  <c r="V48" i="2" a="1"/>
  <c r="V48" i="2"/>
  <c r="V49" i="2" a="1"/>
  <c r="V49" i="2"/>
  <c r="V50" i="2" a="1"/>
  <c r="V50" i="2" s="1"/>
  <c r="V51" i="2" a="1"/>
  <c r="V51" i="2" s="1"/>
  <c r="V52" i="2" a="1"/>
  <c r="V52" i="2" s="1"/>
  <c r="V53" i="2" a="1"/>
  <c r="V53" i="2"/>
  <c r="V54" i="2" a="1"/>
  <c r="V54" i="2" s="1"/>
  <c r="V55" i="2" a="1"/>
  <c r="V55" i="2" s="1"/>
  <c r="V56" i="2" a="1"/>
  <c r="V56" i="2" s="1"/>
  <c r="V57" i="2" a="1"/>
  <c r="V57" i="2" s="1"/>
  <c r="V58" i="2" a="1"/>
  <c r="V58" i="2" s="1"/>
  <c r="V59" i="2" a="1"/>
  <c r="V59" i="2"/>
  <c r="V60" i="2" a="1"/>
  <c r="V60" i="2"/>
  <c r="V61" i="2" a="1"/>
  <c r="V61" i="2" s="1"/>
  <c r="V62" i="2" a="1"/>
  <c r="V62" i="2" s="1"/>
  <c r="V63" i="2" a="1"/>
  <c r="V63" i="2" s="1"/>
  <c r="V64" i="2" a="1"/>
  <c r="V64" i="2" s="1"/>
  <c r="V65" i="2" a="1"/>
  <c r="V65" i="2" s="1"/>
  <c r="V66" i="2" a="1"/>
  <c r="V66" i="2" s="1"/>
  <c r="V67" i="2" a="1"/>
  <c r="V67" i="2" s="1"/>
  <c r="V68" i="2" a="1"/>
  <c r="V68" i="2" s="1"/>
  <c r="V69" i="2" a="1"/>
  <c r="V69" i="2"/>
  <c r="V70" i="2" a="1"/>
  <c r="V70" i="2"/>
  <c r="V71" i="2" a="1"/>
  <c r="V71" i="2" s="1"/>
  <c r="V72" i="2" a="1"/>
  <c r="V72" i="2"/>
  <c r="V73" i="2" a="1"/>
  <c r="V73" i="2" s="1"/>
  <c r="V74" i="2" a="1"/>
  <c r="V74" i="2" s="1"/>
  <c r="V75" i="2" a="1"/>
  <c r="V75" i="2"/>
  <c r="V76" i="2" a="1"/>
  <c r="V76" i="2" s="1"/>
  <c r="V77" i="2" a="1"/>
  <c r="V77" i="2" s="1"/>
  <c r="V78" i="2" a="1"/>
  <c r="V78" i="2" s="1"/>
  <c r="V79" i="2" a="1"/>
  <c r="V79" i="2" s="1"/>
  <c r="V80" i="2" a="1"/>
  <c r="V80" i="2" s="1"/>
  <c r="V81" i="2" a="1"/>
  <c r="V81" i="2" s="1"/>
  <c r="V82" i="2" a="1"/>
  <c r="V82" i="2" s="1"/>
  <c r="V83" i="2" a="1"/>
  <c r="V83" i="2" s="1"/>
  <c r="V84" i="2" a="1"/>
  <c r="V84" i="2" s="1"/>
  <c r="V85" i="2" a="1"/>
  <c r="V85" i="2" s="1"/>
  <c r="V86" i="2" a="1"/>
  <c r="V86" i="2" s="1"/>
  <c r="V87" i="2" a="1"/>
  <c r="V87" i="2"/>
  <c r="V88" i="2" a="1"/>
  <c r="V88" i="2" s="1"/>
  <c r="V89" i="2" a="1"/>
  <c r="V89" i="2" s="1"/>
  <c r="V90" i="2" a="1"/>
  <c r="V90" i="2" s="1"/>
  <c r="V91" i="2" a="1"/>
  <c r="V91" i="2"/>
  <c r="V92" i="2" a="1"/>
  <c r="V92" i="2"/>
  <c r="V93" i="2" a="1"/>
  <c r="V93" i="2"/>
  <c r="V94" i="2" a="1"/>
  <c r="V94" i="2"/>
  <c r="V95" i="2" a="1"/>
  <c r="V95" i="2" s="1"/>
  <c r="V96" i="2" a="1"/>
  <c r="V96" i="2" s="1"/>
  <c r="V97" i="2" a="1"/>
  <c r="V97" i="2"/>
  <c r="V98" i="2" a="1"/>
  <c r="V98" i="2" s="1"/>
  <c r="V99" i="2" a="1"/>
  <c r="V99" i="2" s="1"/>
  <c r="V100" i="2" a="1"/>
  <c r="V100" i="2" s="1"/>
  <c r="V101" i="2" a="1"/>
  <c r="V101" i="2" s="1"/>
  <c r="V102" i="2" a="1"/>
  <c r="V102" i="2" s="1"/>
  <c r="V103" i="2" a="1"/>
  <c r="V103" i="2" s="1"/>
  <c r="V104" i="2" a="1"/>
  <c r="V104" i="2" s="1"/>
  <c r="V105" i="2" a="1"/>
  <c r="V105" i="2" s="1"/>
  <c r="V106" i="2" a="1"/>
  <c r="V106" i="2" s="1"/>
  <c r="V107" i="2" a="1"/>
  <c r="V107" i="2" s="1"/>
  <c r="V108" i="2" a="1"/>
  <c r="V108" i="2" s="1"/>
  <c r="V109" i="2" a="1"/>
  <c r="V109" i="2"/>
  <c r="V110" i="2" a="1"/>
  <c r="V110" i="2"/>
  <c r="V111" i="2" a="1"/>
  <c r="V111" i="2"/>
  <c r="V112" i="2" a="1"/>
  <c r="V112" i="2" s="1"/>
  <c r="V113" i="2" a="1"/>
  <c r="V113" i="2" s="1"/>
  <c r="V114" i="2" a="1"/>
  <c r="V114" i="2" s="1"/>
  <c r="V115" i="2" a="1"/>
  <c r="V115" i="2" s="1"/>
  <c r="V116" i="2" a="1"/>
  <c r="V116" i="2" s="1"/>
  <c r="V117" i="2" a="1"/>
  <c r="V117" i="2" s="1"/>
  <c r="V118" i="2" a="1"/>
  <c r="V118" i="2" s="1"/>
  <c r="V119" i="2" a="1"/>
  <c r="V119" i="2" s="1"/>
  <c r="V120" i="2" a="1"/>
  <c r="V120" i="2"/>
  <c r="V121" i="2" a="1"/>
  <c r="V121" i="2" s="1"/>
  <c r="V122" i="2" a="1"/>
  <c r="V122" i="2" s="1"/>
  <c r="V123" i="2" a="1"/>
  <c r="V123" i="2"/>
  <c r="V124" i="2" a="1"/>
  <c r="V124" i="2" s="1"/>
  <c r="V125" i="2" a="1"/>
  <c r="V125" i="2" s="1"/>
  <c r="V126" i="2" a="1"/>
  <c r="V126" i="2" s="1"/>
  <c r="V127" i="2" a="1"/>
  <c r="V127" i="2"/>
  <c r="V128" i="2" a="1"/>
  <c r="V128" i="2" s="1"/>
  <c r="V129" i="2" a="1"/>
  <c r="V129" i="2" s="1"/>
  <c r="V130" i="2" a="1"/>
  <c r="V130" i="2" s="1"/>
  <c r="V131" i="2" a="1"/>
  <c r="V131" i="2" s="1"/>
  <c r="V132" i="2" a="1"/>
  <c r="V132" i="2"/>
  <c r="V133" i="2" a="1"/>
  <c r="V133" i="2" s="1"/>
  <c r="V134" i="2" a="1"/>
  <c r="V134" i="2" s="1"/>
  <c r="V135" i="2" a="1"/>
  <c r="V135" i="2" s="1"/>
  <c r="V136" i="2" a="1"/>
  <c r="V136" i="2" s="1"/>
  <c r="V137" i="2" a="1"/>
  <c r="V137" i="2"/>
  <c r="V138" i="2" a="1"/>
  <c r="V138" i="2" s="1"/>
  <c r="V139" i="2" a="1"/>
  <c r="V139" i="2" s="1"/>
  <c r="V140" i="2" a="1"/>
  <c r="V140" i="2"/>
  <c r="V141" i="2" a="1"/>
  <c r="V141" i="2" s="1"/>
  <c r="V142" i="2" a="1"/>
  <c r="V142" i="2"/>
  <c r="V143" i="2" a="1"/>
  <c r="V143" i="2" s="1"/>
  <c r="V144" i="2" a="1"/>
  <c r="V144" i="2" s="1"/>
  <c r="V145" i="2" a="1"/>
  <c r="V145" i="2" s="1"/>
  <c r="V146" i="2" a="1"/>
  <c r="V146" i="2" s="1"/>
  <c r="V147" i="2" a="1"/>
  <c r="V147" i="2" s="1"/>
  <c r="V148" i="2" a="1"/>
  <c r="V148" i="2" s="1"/>
  <c r="V149" i="2" a="1"/>
  <c r="V149" i="2"/>
  <c r="V150" i="2" a="1"/>
  <c r="V150" i="2" s="1"/>
  <c r="V151" i="2" a="1"/>
  <c r="V151" i="2" s="1"/>
  <c r="V152" i="2" a="1"/>
  <c r="V152" i="2" s="1"/>
  <c r="V153" i="2" a="1"/>
  <c r="V153" i="2"/>
  <c r="V154" i="2" a="1"/>
  <c r="V154" i="2" s="1"/>
  <c r="V155" i="2" a="1"/>
  <c r="V155" i="2" s="1"/>
  <c r="V156" i="2" a="1"/>
  <c r="V156" i="2" s="1"/>
  <c r="V157" i="2" a="1"/>
  <c r="V157" i="2"/>
  <c r="V158" i="2" a="1"/>
  <c r="V158" i="2" s="1"/>
  <c r="V159" i="2" a="1"/>
  <c r="V159" i="2" s="1"/>
  <c r="V160" i="2" a="1"/>
  <c r="V160" i="2" s="1"/>
  <c r="V161" i="2" a="1"/>
  <c r="V161" i="2"/>
  <c r="V162" i="2" a="1"/>
  <c r="V162" i="2" s="1"/>
  <c r="V163" i="2" a="1"/>
  <c r="V163" i="2" s="1"/>
  <c r="V164" i="2" a="1"/>
  <c r="V164" i="2"/>
  <c r="V165" i="2" a="1"/>
  <c r="V165" i="2" s="1"/>
  <c r="V166" i="2" a="1"/>
  <c r="V166" i="2" s="1"/>
  <c r="V167" i="2" a="1"/>
  <c r="V167" i="2" s="1"/>
  <c r="V168" i="2" a="1"/>
  <c r="V168" i="2" s="1"/>
  <c r="V169" i="2" a="1"/>
  <c r="V169" i="2" s="1"/>
  <c r="V170" i="2" a="1"/>
  <c r="V170" i="2" s="1"/>
  <c r="V171" i="2" a="1"/>
  <c r="V171" i="2" s="1"/>
  <c r="V172" i="2" a="1"/>
  <c r="V172" i="2" s="1"/>
  <c r="V173" i="2" a="1"/>
  <c r="V173" i="2" s="1"/>
  <c r="V174" i="2" a="1"/>
  <c r="V174" i="2"/>
  <c r="V175" i="2" a="1"/>
  <c r="V175" i="2" s="1"/>
  <c r="V176" i="2" a="1"/>
  <c r="V176" i="2"/>
  <c r="V177" i="2" a="1"/>
  <c r="V177" i="2" s="1"/>
  <c r="V178" i="2" a="1"/>
  <c r="V178" i="2" s="1"/>
  <c r="V179" i="2" a="1"/>
  <c r="V179" i="2"/>
  <c r="V180" i="2" a="1"/>
  <c r="V180" i="2"/>
  <c r="V181" i="2" a="1"/>
  <c r="V181" i="2"/>
  <c r="V182" i="2" a="1"/>
  <c r="V182" i="2" s="1"/>
  <c r="V183" i="2" a="1"/>
  <c r="V183" i="2"/>
  <c r="V184" i="2" a="1"/>
  <c r="V184" i="2" s="1"/>
  <c r="V185" i="2" a="1"/>
  <c r="V185" i="2" s="1"/>
  <c r="V186" i="2" a="1"/>
  <c r="V186" i="2" s="1"/>
  <c r="V187" i="2" a="1"/>
  <c r="V187" i="2"/>
  <c r="V188" i="2" a="1"/>
  <c r="V188" i="2" s="1"/>
  <c r="V189" i="2" a="1"/>
  <c r="V189" i="2" s="1"/>
  <c r="V190" i="2" a="1"/>
  <c r="V190" i="2" s="1"/>
  <c r="V191" i="2" a="1"/>
  <c r="V191" i="2"/>
  <c r="V192" i="2" a="1"/>
  <c r="V192" i="2" s="1"/>
  <c r="V193" i="2" a="1"/>
  <c r="V193" i="2"/>
  <c r="V194" i="2" a="1"/>
  <c r="V194" i="2" s="1"/>
  <c r="V195" i="2" a="1"/>
  <c r="V195" i="2" s="1"/>
  <c r="V196" i="2" a="1"/>
  <c r="V196" i="2"/>
  <c r="V197" i="2" a="1"/>
  <c r="V197" i="2" s="1"/>
  <c r="V198" i="2" a="1"/>
  <c r="V198" i="2"/>
  <c r="V199" i="2" a="1"/>
  <c r="V199" i="2" s="1"/>
  <c r="V200" i="2" a="1"/>
  <c r="V200" i="2" s="1"/>
  <c r="V201" i="2" a="1"/>
  <c r="V201" i="2" s="1"/>
  <c r="V202" i="2" a="1"/>
  <c r="V202" i="2" s="1"/>
  <c r="V203" i="2" a="1"/>
  <c r="V203" i="2" s="1"/>
  <c r="V204" i="2" a="1"/>
  <c r="V204" i="2" s="1"/>
  <c r="V205" i="2" a="1"/>
  <c r="V205" i="2" s="1"/>
  <c r="V206" i="2" a="1"/>
  <c r="V206" i="2" s="1"/>
  <c r="V207" i="2" a="1"/>
  <c r="V207" i="2" s="1"/>
  <c r="V208" i="2" a="1"/>
  <c r="V208" i="2" s="1"/>
  <c r="V209" i="2" a="1"/>
  <c r="V209" i="2" s="1"/>
  <c r="V210" i="2" a="1"/>
  <c r="V210" i="2" s="1"/>
  <c r="V211" i="2" a="1"/>
  <c r="V211" i="2"/>
  <c r="V212" i="2" a="1"/>
  <c r="V212" i="2" s="1"/>
  <c r="V213" i="2" a="1"/>
  <c r="V213" i="2"/>
  <c r="V214" i="2" a="1"/>
  <c r="V214" i="2" s="1"/>
  <c r="V215" i="2" a="1"/>
  <c r="V215" i="2" s="1"/>
  <c r="V216" i="2" a="1"/>
  <c r="V216" i="2" s="1"/>
  <c r="V217" i="2" a="1"/>
  <c r="V217" i="2"/>
  <c r="V218" i="2" a="1"/>
  <c r="V218" i="2" s="1"/>
  <c r="V219" i="2" a="1"/>
  <c r="V219" i="2"/>
  <c r="V220" i="2" a="1"/>
  <c r="V220" i="2" s="1"/>
  <c r="V221" i="2" a="1"/>
  <c r="V221" i="2" s="1"/>
  <c r="V222" i="2" a="1"/>
  <c r="V222" i="2" s="1"/>
  <c r="V223" i="2" a="1"/>
  <c r="V223" i="2" s="1"/>
  <c r="V224" i="2" a="1"/>
  <c r="V224" i="2" s="1"/>
  <c r="V225" i="2" a="1"/>
  <c r="V225" i="2"/>
  <c r="V226" i="2" a="1"/>
  <c r="V226" i="2" s="1"/>
  <c r="V227" i="2" a="1"/>
  <c r="V227" i="2" s="1"/>
  <c r="V228" i="2" a="1"/>
  <c r="V228" i="2"/>
  <c r="V229" i="2" a="1"/>
  <c r="V229" i="2" s="1"/>
  <c r="V230" i="2" a="1"/>
  <c r="V230" i="2"/>
  <c r="V231" i="2" a="1"/>
  <c r="V231" i="2" s="1"/>
  <c r="V232" i="2" a="1"/>
  <c r="V232" i="2" s="1"/>
  <c r="V233" i="2" a="1"/>
  <c r="V233" i="2" s="1"/>
  <c r="V234" i="2" a="1"/>
  <c r="V234" i="2" s="1"/>
  <c r="V235" i="2" a="1"/>
  <c r="V235" i="2" s="1"/>
  <c r="V236" i="2" a="1"/>
  <c r="V236" i="2"/>
  <c r="V237" i="2" a="1"/>
  <c r="V237" i="2"/>
  <c r="V238" i="2" a="1"/>
  <c r="V238" i="2"/>
  <c r="V239" i="2" a="1"/>
  <c r="V239" i="2" s="1"/>
  <c r="V240" i="2" a="1"/>
  <c r="V240" i="2" s="1"/>
  <c r="V241" i="2" a="1"/>
  <c r="V241" i="2" s="1"/>
  <c r="V242" i="2" a="1"/>
  <c r="V242" i="2" s="1"/>
  <c r="V243" i="2" a="1"/>
  <c r="V243" i="2"/>
  <c r="V244" i="2" a="1"/>
  <c r="V244" i="2" s="1"/>
  <c r="V245" i="2" a="1"/>
  <c r="V245" i="2"/>
  <c r="V246" i="2" a="1"/>
  <c r="V246" i="2" s="1"/>
  <c r="V247" i="2" a="1"/>
  <c r="V247" i="2"/>
  <c r="V248" i="2" a="1"/>
  <c r="V248" i="2"/>
  <c r="V249" i="2" a="1"/>
  <c r="V249" i="2"/>
  <c r="V250" i="2" a="1"/>
  <c r="V250" i="2" s="1"/>
  <c r="V251" i="2" a="1"/>
  <c r="V251" i="2"/>
  <c r="U2" i="2" a="1"/>
  <c r="U2" i="2" s="1"/>
  <c r="U3" i="2" a="1"/>
  <c r="U3" i="2" s="1"/>
  <c r="U4" i="2" a="1"/>
  <c r="U4" i="2" s="1"/>
  <c r="U5" i="2" a="1"/>
  <c r="U5" i="2" s="1"/>
  <c r="U6" i="2" a="1"/>
  <c r="U6" i="2"/>
  <c r="U7" i="2" a="1"/>
  <c r="U7" i="2" s="1"/>
  <c r="U8" i="2" a="1"/>
  <c r="U8" i="2" s="1"/>
  <c r="U9" i="2" a="1"/>
  <c r="U9" i="2" s="1"/>
  <c r="U10" i="2" a="1"/>
  <c r="U10" i="2" s="1"/>
  <c r="U11" i="2" a="1"/>
  <c r="U11" i="2"/>
  <c r="U12" i="2" a="1"/>
  <c r="U12" i="2"/>
  <c r="U13" i="2" a="1"/>
  <c r="U13" i="2" s="1"/>
  <c r="U14" i="2" a="1"/>
  <c r="U14" i="2"/>
  <c r="U15" i="2" a="1"/>
  <c r="U15" i="2" s="1"/>
  <c r="U16" i="2" a="1"/>
  <c r="U16" i="2" s="1"/>
  <c r="U17" i="2" a="1"/>
  <c r="U17" i="2" s="1"/>
  <c r="U18" i="2" a="1"/>
  <c r="U18" i="2" s="1"/>
  <c r="U19" i="2" a="1"/>
  <c r="U19" i="2"/>
  <c r="U20" i="2" a="1"/>
  <c r="U20" i="2" s="1"/>
  <c r="U21" i="2" a="1"/>
  <c r="U21" i="2" s="1"/>
  <c r="U22" i="2" a="1"/>
  <c r="U22" i="2" s="1"/>
  <c r="U23" i="2" a="1"/>
  <c r="U23" i="2"/>
  <c r="U24" i="2" a="1"/>
  <c r="U24" i="2" s="1"/>
  <c r="U25" i="2" a="1"/>
  <c r="U25" i="2" s="1"/>
  <c r="U26" i="2" a="1"/>
  <c r="U26" i="2" s="1"/>
  <c r="U27" i="2" a="1"/>
  <c r="U27" i="2"/>
  <c r="U28" i="2" a="1"/>
  <c r="U28" i="2"/>
  <c r="U29" i="2" a="1"/>
  <c r="U29" i="2"/>
  <c r="U30" i="2" a="1"/>
  <c r="U30" i="2"/>
  <c r="U31" i="2" a="1"/>
  <c r="U31" i="2" s="1"/>
  <c r="U32" i="2" a="1"/>
  <c r="U32" i="2" s="1"/>
  <c r="U33" i="2" a="1"/>
  <c r="U33" i="2" s="1"/>
  <c r="U34" i="2" a="1"/>
  <c r="U34" i="2" s="1"/>
  <c r="U35" i="2" a="1"/>
  <c r="U35" i="2" s="1"/>
  <c r="U36" i="2" a="1"/>
  <c r="U36" i="2"/>
  <c r="U37" i="2" a="1"/>
  <c r="U37" i="2" s="1"/>
  <c r="U38" i="2" a="1"/>
  <c r="U38" i="2" s="1"/>
  <c r="U39" i="2" a="1"/>
  <c r="U39" i="2" s="1"/>
  <c r="U40" i="2" a="1"/>
  <c r="U40" i="2" s="1"/>
  <c r="U41" i="2" a="1"/>
  <c r="U41" i="2"/>
  <c r="U42" i="2" a="1"/>
  <c r="U42" i="2" s="1"/>
  <c r="U43" i="2" a="1"/>
  <c r="U43" i="2" s="1"/>
  <c r="U44" i="2" a="1"/>
  <c r="U44" i="2"/>
  <c r="U45" i="2" a="1"/>
  <c r="U45" i="2"/>
  <c r="U46" i="2" a="1"/>
  <c r="U46" i="2"/>
  <c r="U47" i="2" a="1"/>
  <c r="U47" i="2"/>
  <c r="U48" i="2" a="1"/>
  <c r="U48" i="2"/>
  <c r="U49" i="2" a="1"/>
  <c r="U49" i="2" s="1"/>
  <c r="U50" i="2" a="1"/>
  <c r="U50" i="2" s="1"/>
  <c r="U51" i="2" a="1"/>
  <c r="U51" i="2"/>
  <c r="U52" i="2" a="1"/>
  <c r="U52" i="2" s="1"/>
  <c r="U53" i="2" a="1"/>
  <c r="U53" i="2"/>
  <c r="U54" i="2" a="1"/>
  <c r="U54" i="2" s="1"/>
  <c r="U55" i="2" a="1"/>
  <c r="U55" i="2" s="1"/>
  <c r="U56" i="2" a="1"/>
  <c r="U56" i="2" s="1"/>
  <c r="U57" i="2" a="1"/>
  <c r="U57" i="2"/>
  <c r="U58" i="2" a="1"/>
  <c r="U58" i="2" s="1"/>
  <c r="U59" i="2" a="1"/>
  <c r="U59" i="2" s="1"/>
  <c r="U60" i="2" a="1"/>
  <c r="U60" i="2"/>
  <c r="U61" i="2" a="1"/>
  <c r="U61" i="2"/>
  <c r="U62" i="2" a="1"/>
  <c r="U62" i="2"/>
  <c r="U63" i="2" a="1"/>
  <c r="U63" i="2" s="1"/>
  <c r="U64" i="2" a="1"/>
  <c r="U64" i="2"/>
  <c r="U65" i="2" a="1"/>
  <c r="U65" i="2"/>
  <c r="U66" i="2" a="1"/>
  <c r="U66" i="2" s="1"/>
  <c r="U67" i="2" a="1"/>
  <c r="U67" i="2"/>
  <c r="U68" i="2" a="1"/>
  <c r="U68" i="2" s="1"/>
  <c r="U69" i="2" a="1"/>
  <c r="U69" i="2" s="1"/>
  <c r="U70" i="2" a="1"/>
  <c r="U70" i="2"/>
  <c r="U71" i="2" a="1"/>
  <c r="U71" i="2" s="1"/>
  <c r="U72" i="2" a="1"/>
  <c r="U72" i="2" s="1"/>
  <c r="U73" i="2" a="1"/>
  <c r="U73" i="2" s="1"/>
  <c r="U74" i="2" a="1"/>
  <c r="U74" i="2" s="1"/>
  <c r="U75" i="2" a="1"/>
  <c r="U75" i="2" s="1"/>
  <c r="U76" i="2" a="1"/>
  <c r="U76" i="2" s="1"/>
  <c r="U77" i="2" a="1"/>
  <c r="U77" i="2"/>
  <c r="U78" i="2" a="1"/>
  <c r="U78" i="2"/>
  <c r="U79" i="2" a="1"/>
  <c r="U79" i="2"/>
  <c r="U80" i="2" a="1"/>
  <c r="U80" i="2"/>
  <c r="U81" i="2" a="1"/>
  <c r="U81" i="2"/>
  <c r="U82" i="2" a="1"/>
  <c r="U82" i="2" s="1"/>
  <c r="U83" i="2" a="1"/>
  <c r="U83" i="2"/>
  <c r="U84" i="2" a="1"/>
  <c r="U84" i="2"/>
  <c r="U85" i="2" a="1"/>
  <c r="U85" i="2" s="1"/>
  <c r="U86" i="2" a="1"/>
  <c r="U86" i="2" s="1"/>
  <c r="U87" i="2" a="1"/>
  <c r="U87" i="2"/>
  <c r="U88" i="2" a="1"/>
  <c r="U88" i="2" s="1"/>
  <c r="U89" i="2" a="1"/>
  <c r="U89" i="2" s="1"/>
  <c r="U90" i="2" a="1"/>
  <c r="U90" i="2" s="1"/>
  <c r="U91" i="2" a="1"/>
  <c r="U91" i="2" s="1"/>
  <c r="U92" i="2" a="1"/>
  <c r="U92" i="2" s="1"/>
  <c r="U93" i="2" a="1"/>
  <c r="U93" i="2" s="1"/>
  <c r="U94" i="2" a="1"/>
  <c r="U94" i="2"/>
  <c r="U95" i="2" a="1"/>
  <c r="U95" i="2"/>
  <c r="U96" i="2" a="1"/>
  <c r="U96" i="2" s="1"/>
  <c r="U97" i="2" a="1"/>
  <c r="U97" i="2"/>
  <c r="U98" i="2" a="1"/>
  <c r="U98" i="2" s="1"/>
  <c r="U99" i="2" a="1"/>
  <c r="U99" i="2" s="1"/>
  <c r="U100" i="2" a="1"/>
  <c r="U100" i="2" s="1"/>
  <c r="U101" i="2" a="1"/>
  <c r="U101" i="2" s="1"/>
  <c r="U102" i="2" a="1"/>
  <c r="U102" i="2"/>
  <c r="U103" i="2" a="1"/>
  <c r="U103" i="2" s="1"/>
  <c r="U104" i="2" a="1"/>
  <c r="U104" i="2" s="1"/>
  <c r="U105" i="2" a="1"/>
  <c r="U105" i="2" s="1"/>
  <c r="U106" i="2" a="1"/>
  <c r="U106" i="2" s="1"/>
  <c r="U107" i="2" a="1"/>
  <c r="U107" i="2"/>
  <c r="U108" i="2" a="1"/>
  <c r="U108" i="2"/>
  <c r="U109" i="2" a="1"/>
  <c r="U109" i="2" s="1"/>
  <c r="U110" i="2" a="1"/>
  <c r="U110" i="2" s="1"/>
  <c r="U111" i="2" a="1"/>
  <c r="U111" i="2"/>
  <c r="U112" i="2" a="1"/>
  <c r="U112" i="2"/>
  <c r="U113" i="2" a="1"/>
  <c r="U113" i="2"/>
  <c r="U114" i="2" a="1"/>
  <c r="U114" i="2" s="1"/>
  <c r="U115" i="2" a="1"/>
  <c r="U115" i="2" s="1"/>
  <c r="U116" i="2" a="1"/>
  <c r="U116" i="2"/>
  <c r="U117" i="2" a="1"/>
  <c r="U117" i="2"/>
  <c r="U118" i="2" a="1"/>
  <c r="U118" i="2" s="1"/>
  <c r="U119" i="2" a="1"/>
  <c r="U119" i="2" s="1"/>
  <c r="U120" i="2" a="1"/>
  <c r="U120" i="2" s="1"/>
  <c r="U121" i="2" a="1"/>
  <c r="U121" i="2" s="1"/>
  <c r="U122" i="2" a="1"/>
  <c r="U122" i="2" s="1"/>
  <c r="U123" i="2" a="1"/>
  <c r="U123" i="2" s="1"/>
  <c r="U124" i="2" a="1"/>
  <c r="U124" i="2"/>
  <c r="U125" i="2" a="1"/>
  <c r="U125" i="2"/>
  <c r="U126" i="2" a="1"/>
  <c r="U126" i="2"/>
  <c r="U127" i="2" a="1"/>
  <c r="U127" i="2" s="1"/>
  <c r="U128" i="2" a="1"/>
  <c r="U128" i="2" s="1"/>
  <c r="U129" i="2" a="1"/>
  <c r="U129" i="2" s="1"/>
  <c r="U130" i="2" a="1"/>
  <c r="U130" i="2" s="1"/>
  <c r="U131" i="2" a="1"/>
  <c r="U131" i="2"/>
  <c r="U132" i="2" a="1"/>
  <c r="U132" i="2" s="1"/>
  <c r="U133" i="2" a="1"/>
  <c r="U133" i="2"/>
  <c r="U134" i="2" a="1"/>
  <c r="U134" i="2"/>
  <c r="U135" i="2" a="1"/>
  <c r="U135" i="2"/>
  <c r="U136" i="2" a="1"/>
  <c r="U136" i="2" s="1"/>
  <c r="U137" i="2" a="1"/>
  <c r="U137" i="2" s="1"/>
  <c r="U138" i="2" a="1"/>
  <c r="U138" i="2" s="1"/>
  <c r="U139" i="2" a="1"/>
  <c r="U139" i="2" s="1"/>
  <c r="U140" i="2" a="1"/>
  <c r="U140" i="2" s="1"/>
  <c r="U141" i="2" a="1"/>
  <c r="U141" i="2"/>
  <c r="U142" i="2" a="1"/>
  <c r="U142" i="2"/>
  <c r="U143" i="2" a="1"/>
  <c r="U143" i="2" s="1"/>
  <c r="U144" i="2" a="1"/>
  <c r="U144" i="2" s="1"/>
  <c r="U145" i="2" a="1"/>
  <c r="U145" i="2" s="1"/>
  <c r="U146" i="2" a="1"/>
  <c r="U146" i="2" s="1"/>
  <c r="U147" i="2" a="1"/>
  <c r="U147" i="2"/>
  <c r="U148" i="2" a="1"/>
  <c r="U148" i="2" s="1"/>
  <c r="U149" i="2" a="1"/>
  <c r="U149" i="2" s="1"/>
  <c r="U150" i="2" a="1"/>
  <c r="U150" i="2" s="1"/>
  <c r="U151" i="2" a="1"/>
  <c r="U151" i="2" s="1"/>
  <c r="U152" i="2" a="1"/>
  <c r="U152" i="2"/>
  <c r="U153" i="2" a="1"/>
  <c r="U153" i="2" s="1"/>
  <c r="U154" i="2" a="1"/>
  <c r="U154" i="2" s="1"/>
  <c r="U155" i="2" a="1"/>
  <c r="U155" i="2" s="1"/>
  <c r="U156" i="2" a="1"/>
  <c r="U156" i="2" s="1"/>
  <c r="U157" i="2" a="1"/>
  <c r="U157" i="2" s="1"/>
  <c r="U158" i="2" a="1"/>
  <c r="U158" i="2"/>
  <c r="U159" i="2" a="1"/>
  <c r="U159" i="2" s="1"/>
  <c r="U160" i="2" a="1"/>
  <c r="U160" i="2"/>
  <c r="U161" i="2" a="1"/>
  <c r="U161" i="2" s="1"/>
  <c r="U162" i="2" a="1"/>
  <c r="U162" i="2" s="1"/>
  <c r="U163" i="2" a="1"/>
  <c r="U163" i="2"/>
  <c r="U164" i="2" a="1"/>
  <c r="U164" i="2"/>
  <c r="U165" i="2" a="1"/>
  <c r="U165" i="2"/>
  <c r="U166" i="2" a="1"/>
  <c r="U166" i="2" s="1"/>
  <c r="U167" i="2" a="1"/>
  <c r="U167" i="2"/>
  <c r="U168" i="2" a="1"/>
  <c r="U168" i="2" s="1"/>
  <c r="U169" i="2" a="1"/>
  <c r="U169" i="2" s="1"/>
  <c r="U170" i="2" a="1"/>
  <c r="U170" i="2" s="1"/>
  <c r="U171" i="2" a="1"/>
  <c r="U171" i="2" s="1"/>
  <c r="U172" i="2" a="1"/>
  <c r="U172" i="2"/>
  <c r="U173" i="2" a="1"/>
  <c r="U173" i="2"/>
  <c r="U174" i="2" a="1"/>
  <c r="U174" i="2" s="1"/>
  <c r="U175" i="2" a="1"/>
  <c r="U175" i="2" s="1"/>
  <c r="U176" i="2" a="1"/>
  <c r="U176" i="2" s="1"/>
  <c r="U177" i="2" a="1"/>
  <c r="U177" i="2" s="1"/>
  <c r="U178" i="2" a="1"/>
  <c r="U178" i="2" s="1"/>
  <c r="U179" i="2" a="1"/>
  <c r="U179" i="2"/>
  <c r="U180" i="2" a="1"/>
  <c r="U180" i="2" s="1"/>
  <c r="U181" i="2" a="1"/>
  <c r="U181" i="2"/>
  <c r="U182" i="2" a="1"/>
  <c r="U182" i="2"/>
  <c r="U183" i="2" a="1"/>
  <c r="U183" i="2" s="1"/>
  <c r="U184" i="2" a="1"/>
  <c r="U184" i="2" s="1"/>
  <c r="U185" i="2" a="1"/>
  <c r="U185" i="2"/>
  <c r="U186" i="2" a="1"/>
  <c r="U186" i="2" s="1"/>
  <c r="U187" i="2" a="1"/>
  <c r="U187" i="2" s="1"/>
  <c r="U188" i="2" a="1"/>
  <c r="U188" i="2"/>
  <c r="U189" i="2" a="1"/>
  <c r="U189" i="2" s="1"/>
  <c r="U190" i="2" a="1"/>
  <c r="U190" i="2"/>
  <c r="U191" i="2" a="1"/>
  <c r="U191" i="2" s="1"/>
  <c r="U192" i="2" a="1"/>
  <c r="U192" i="2" s="1"/>
  <c r="U193" i="2" a="1"/>
  <c r="U193" i="2" s="1"/>
  <c r="U194" i="2" a="1"/>
  <c r="U194" i="2" s="1"/>
  <c r="U195" i="2" a="1"/>
  <c r="U195" i="2"/>
  <c r="U196" i="2" a="1"/>
  <c r="U196" i="2" s="1"/>
  <c r="U197" i="2" a="1"/>
  <c r="U197" i="2"/>
  <c r="U198" i="2" a="1"/>
  <c r="U198" i="2" s="1"/>
  <c r="U199" i="2" a="1"/>
  <c r="U199" i="2" s="1"/>
  <c r="U200" i="2" a="1"/>
  <c r="U200" i="2" s="1"/>
  <c r="U201" i="2" a="1"/>
  <c r="U201" i="2" s="1"/>
  <c r="U202" i="2" a="1"/>
  <c r="U202" i="2" s="1"/>
  <c r="U203" i="2" a="1"/>
  <c r="U203" i="2" s="1"/>
  <c r="U204" i="2" a="1"/>
  <c r="U204" i="2"/>
  <c r="U205" i="2" a="1"/>
  <c r="U205" i="2" s="1"/>
  <c r="U206" i="2" a="1"/>
  <c r="U206" i="2"/>
  <c r="U207" i="2" a="1"/>
  <c r="U207" i="2" s="1"/>
  <c r="U208" i="2" a="1"/>
  <c r="U208" i="2" s="1"/>
  <c r="U209" i="2" a="1"/>
  <c r="U209" i="2" s="1"/>
  <c r="U210" i="2" a="1"/>
  <c r="U210" i="2" s="1"/>
  <c r="U211" i="2" a="1"/>
  <c r="U211" i="2"/>
  <c r="U212" i="2" a="1"/>
  <c r="U212" i="2" s="1"/>
  <c r="U213" i="2" a="1"/>
  <c r="U213" i="2"/>
  <c r="U214" i="2" a="1"/>
  <c r="U214" i="2" s="1"/>
  <c r="U215" i="2" a="1"/>
  <c r="U215" i="2" s="1"/>
  <c r="U216" i="2" a="1"/>
  <c r="U216" i="2" s="1"/>
  <c r="U217" i="2" a="1"/>
  <c r="U217" i="2" s="1"/>
  <c r="U218" i="2" a="1"/>
  <c r="U218" i="2" s="1"/>
  <c r="U219" i="2" a="1"/>
  <c r="U219" i="2"/>
  <c r="U220" i="2" a="1"/>
  <c r="U220" i="2"/>
  <c r="U221" i="2" a="1"/>
  <c r="U221" i="2" s="1"/>
  <c r="U222" i="2" a="1"/>
  <c r="U222" i="2"/>
  <c r="U223" i="2" a="1"/>
  <c r="U223" i="2" s="1"/>
  <c r="U224" i="2" a="1"/>
  <c r="U224" i="2"/>
  <c r="U225" i="2" a="1"/>
  <c r="U225" i="2" s="1"/>
  <c r="U226" i="2" a="1"/>
  <c r="U226" i="2" s="1"/>
  <c r="U227" i="2" a="1"/>
  <c r="U227" i="2"/>
  <c r="U228" i="2" a="1"/>
  <c r="U228" i="2" s="1"/>
  <c r="U229" i="2" a="1"/>
  <c r="U229" i="2"/>
  <c r="U230" i="2" a="1"/>
  <c r="U230" i="2" s="1"/>
  <c r="U231" i="2" a="1"/>
  <c r="U231" i="2"/>
  <c r="U232" i="2" a="1"/>
  <c r="U232" i="2" s="1"/>
  <c r="U233" i="2" a="1"/>
  <c r="U233" i="2" s="1"/>
  <c r="U234" i="2" a="1"/>
  <c r="U234" i="2" s="1"/>
  <c r="U235" i="2" a="1"/>
  <c r="U235" i="2"/>
  <c r="U236" i="2" a="1"/>
  <c r="U236" i="2" s="1"/>
  <c r="U237" i="2" a="1"/>
  <c r="U237" i="2" s="1"/>
  <c r="U238" i="2" a="1"/>
  <c r="U238" i="2"/>
  <c r="U239" i="2" a="1"/>
  <c r="U239" i="2"/>
  <c r="U240" i="2" a="1"/>
  <c r="U240" i="2" s="1"/>
  <c r="U241" i="2" a="1"/>
  <c r="U241" i="2"/>
  <c r="U242" i="2" a="1"/>
  <c r="U242" i="2" s="1"/>
  <c r="U243" i="2" a="1"/>
  <c r="U243" i="2" s="1"/>
  <c r="U244" i="2" a="1"/>
  <c r="U244" i="2" s="1"/>
  <c r="U245" i="2" a="1"/>
  <c r="U245" i="2"/>
  <c r="U246" i="2" a="1"/>
  <c r="U246" i="2"/>
  <c r="U247" i="2" a="1"/>
  <c r="U247" i="2"/>
  <c r="U248" i="2" a="1"/>
  <c r="U248" i="2" s="1"/>
  <c r="U249" i="2" a="1"/>
  <c r="U249" i="2" s="1"/>
  <c r="U250" i="2" a="1"/>
  <c r="U250" i="2" s="1"/>
  <c r="U251" i="2" a="1"/>
  <c r="U251" i="2"/>
  <c r="T2" i="2" a="1"/>
  <c r="T2" i="2" s="1"/>
  <c r="T3" i="2" a="1"/>
  <c r="T3" i="2" s="1"/>
  <c r="T4" i="2" a="1"/>
  <c r="T4" i="2"/>
  <c r="T5" i="2" a="1"/>
  <c r="T5" i="2" s="1"/>
  <c r="T6" i="2" a="1"/>
  <c r="T6" i="2" s="1"/>
  <c r="T7" i="2" a="1"/>
  <c r="T7" i="2"/>
  <c r="T8" i="2" a="1"/>
  <c r="T8" i="2"/>
  <c r="T9" i="2" a="1"/>
  <c r="T9" i="2"/>
  <c r="T10" i="2" a="1"/>
  <c r="T10" i="2" s="1"/>
  <c r="T11" i="2" a="1"/>
  <c r="T11" i="2" s="1"/>
  <c r="T12" i="2" a="1"/>
  <c r="T12" i="2" s="1"/>
  <c r="T13" i="2" a="1"/>
  <c r="T13" i="2" s="1"/>
  <c r="T14" i="2" a="1"/>
  <c r="T14" i="2"/>
  <c r="T15" i="2" a="1"/>
  <c r="T15" i="2"/>
  <c r="T16" i="2" a="1"/>
  <c r="T16" i="2"/>
  <c r="T17" i="2" a="1"/>
  <c r="T17" i="2" s="1"/>
  <c r="T18" i="2" a="1"/>
  <c r="T18" i="2" s="1"/>
  <c r="T19" i="2" a="1"/>
  <c r="T19" i="2" s="1"/>
  <c r="T20" i="2" a="1"/>
  <c r="T20" i="2" s="1"/>
  <c r="T21" i="2" a="1"/>
  <c r="T21" i="2" s="1"/>
  <c r="T22" i="2" a="1"/>
  <c r="T22" i="2" s="1"/>
  <c r="T23" i="2" a="1"/>
  <c r="T23" i="2" s="1"/>
  <c r="T24" i="2" a="1"/>
  <c r="T24" i="2"/>
  <c r="T25" i="2" a="1"/>
  <c r="T25" i="2"/>
  <c r="T26" i="2" a="1"/>
  <c r="T26" i="2" s="1"/>
  <c r="T27" i="2" a="1"/>
  <c r="T27" i="2" s="1"/>
  <c r="T28" i="2" a="1"/>
  <c r="T28" i="2" s="1"/>
  <c r="T29" i="2" a="1"/>
  <c r="T29" i="2"/>
  <c r="T30" i="2" a="1"/>
  <c r="T30" i="2" s="1"/>
  <c r="T31" i="2" a="1"/>
  <c r="T31" i="2" s="1"/>
  <c r="T32" i="2" a="1"/>
  <c r="T32" i="2"/>
  <c r="T33" i="2" a="1"/>
  <c r="T33" i="2" s="1"/>
  <c r="T34" i="2" a="1"/>
  <c r="T34" i="2" s="1"/>
  <c r="T35" i="2" a="1"/>
  <c r="T35" i="2" s="1"/>
  <c r="T36" i="2" a="1"/>
  <c r="T36" i="2"/>
  <c r="T37" i="2" a="1"/>
  <c r="T37" i="2"/>
  <c r="T38" i="2" a="1"/>
  <c r="T38" i="2" s="1"/>
  <c r="T39" i="2" a="1"/>
  <c r="T39" i="2" s="1"/>
  <c r="T40" i="2" a="1"/>
  <c r="T40" i="2" s="1"/>
  <c r="T41" i="2" a="1"/>
  <c r="T41" i="2" s="1"/>
  <c r="T42" i="2" a="1"/>
  <c r="T42" i="2" s="1"/>
  <c r="T43" i="2" a="1"/>
  <c r="T43" i="2" s="1"/>
  <c r="T44" i="2" a="1"/>
  <c r="T44" i="2" s="1"/>
  <c r="T45" i="2" a="1"/>
  <c r="T45" i="2"/>
  <c r="T46" i="2" a="1"/>
  <c r="T46" i="2" s="1"/>
  <c r="T47" i="2" a="1"/>
  <c r="T47" i="2"/>
  <c r="T48" i="2" a="1"/>
  <c r="T48" i="2" s="1"/>
  <c r="T49" i="2" a="1"/>
  <c r="T49" i="2"/>
  <c r="T50" i="2" a="1"/>
  <c r="T50" i="2" s="1"/>
  <c r="T51" i="2" a="1"/>
  <c r="T51" i="2" s="1"/>
  <c r="T52" i="2" a="1"/>
  <c r="T52" i="2"/>
  <c r="T53" i="2" a="1"/>
  <c r="T53" i="2"/>
  <c r="T54" i="2" a="1"/>
  <c r="T54" i="2"/>
  <c r="T55" i="2" a="1"/>
  <c r="T55" i="2" s="1"/>
  <c r="T56" i="2" a="1"/>
  <c r="T56" i="2" s="1"/>
  <c r="T57" i="2" a="1"/>
  <c r="T57" i="2" s="1"/>
  <c r="T58" i="2" a="1"/>
  <c r="T58" i="2" s="1"/>
  <c r="T59" i="2" a="1"/>
  <c r="T59" i="2" s="1"/>
  <c r="T60" i="2" a="1"/>
  <c r="T60" i="2"/>
  <c r="T61" i="2" a="1"/>
  <c r="T61" i="2" s="1"/>
  <c r="T62" i="2" a="1"/>
  <c r="T62" i="2"/>
  <c r="T63" i="2" a="1"/>
  <c r="T63" i="2"/>
  <c r="T64" i="2" a="1"/>
  <c r="T64" i="2"/>
  <c r="T65" i="2" a="1"/>
  <c r="T65" i="2" s="1"/>
  <c r="T66" i="2" a="1"/>
  <c r="T66" i="2" s="1"/>
  <c r="T67" i="2" a="1"/>
  <c r="T67" i="2" s="1"/>
  <c r="T68" i="2" a="1"/>
  <c r="T68" i="2" s="1"/>
  <c r="T69" i="2" a="1"/>
  <c r="T69" i="2"/>
  <c r="T70" i="2" a="1"/>
  <c r="T70" i="2" s="1"/>
  <c r="T71" i="2" a="1"/>
  <c r="T71" i="2" s="1"/>
  <c r="T72" i="2" a="1"/>
  <c r="T72" i="2" s="1"/>
  <c r="T73" i="2" a="1"/>
  <c r="T73" i="2" s="1"/>
  <c r="T74" i="2" a="1"/>
  <c r="T74" i="2" s="1"/>
  <c r="T75" i="2" a="1"/>
  <c r="T75" i="2" s="1"/>
  <c r="T76" i="2" a="1"/>
  <c r="T76" i="2" s="1"/>
  <c r="T77" i="2" a="1"/>
  <c r="T77" i="2" s="1"/>
  <c r="T78" i="2" a="1"/>
  <c r="T78" i="2"/>
  <c r="T79" i="2" a="1"/>
  <c r="T79" i="2" s="1"/>
  <c r="T80" i="2" a="1"/>
  <c r="T80" i="2" s="1"/>
  <c r="T81" i="2" a="1"/>
  <c r="T81" i="2" s="1"/>
  <c r="T82" i="2" a="1"/>
  <c r="T82" i="2" s="1"/>
  <c r="T83" i="2" a="1"/>
  <c r="T83" i="2" s="1"/>
  <c r="T84" i="2" a="1"/>
  <c r="T84" i="2" s="1"/>
  <c r="T85" i="2" a="1"/>
  <c r="T85" i="2" s="1"/>
  <c r="T86" i="2" a="1"/>
  <c r="T86" i="2" s="1"/>
  <c r="T87" i="2" a="1"/>
  <c r="T87" i="2" s="1"/>
  <c r="T88" i="2" a="1"/>
  <c r="T88" i="2"/>
  <c r="T89" i="2" a="1"/>
  <c r="T89" i="2" s="1"/>
  <c r="T90" i="2" a="1"/>
  <c r="T90" i="2" s="1"/>
  <c r="T91" i="2" a="1"/>
  <c r="T91" i="2" s="1"/>
  <c r="T92" i="2" a="1"/>
  <c r="T92" i="2" s="1"/>
  <c r="T93" i="2" a="1"/>
  <c r="T93" i="2"/>
  <c r="T94" i="2" a="1"/>
  <c r="T94" i="2" s="1"/>
  <c r="T95" i="2" a="1"/>
  <c r="T95" i="2"/>
  <c r="T96" i="2" a="1"/>
  <c r="T96" i="2" s="1"/>
  <c r="T97" i="2" a="1"/>
  <c r="T97" i="2" s="1"/>
  <c r="T98" i="2" a="1"/>
  <c r="T98" i="2" s="1"/>
  <c r="T99" i="2" a="1"/>
  <c r="T99" i="2" s="1"/>
  <c r="T100" i="2" a="1"/>
  <c r="T100" i="2" s="1"/>
  <c r="T101" i="2" a="1"/>
  <c r="T101" i="2"/>
  <c r="T102" i="2" a="1"/>
  <c r="T102" i="2" s="1"/>
  <c r="T103" i="2" a="1"/>
  <c r="T103" i="2" s="1"/>
  <c r="T104" i="2" a="1"/>
  <c r="T104" i="2"/>
  <c r="T105" i="2" a="1"/>
  <c r="T105" i="2"/>
  <c r="T106" i="2" a="1"/>
  <c r="T106" i="2" s="1"/>
  <c r="T107" i="2" a="1"/>
  <c r="T107" i="2" s="1"/>
  <c r="T108" i="2" a="1"/>
  <c r="T108" i="2" s="1"/>
  <c r="T109" i="2" a="1"/>
  <c r="T109" i="2"/>
  <c r="T110" i="2" a="1"/>
  <c r="T110" i="2" s="1"/>
  <c r="T111" i="2" a="1"/>
  <c r="T111" i="2"/>
  <c r="T112" i="2" a="1"/>
  <c r="T112" i="2"/>
  <c r="T113" i="2" a="1"/>
  <c r="T113" i="2" s="1"/>
  <c r="T114" i="2" a="1"/>
  <c r="T114" i="2" s="1"/>
  <c r="T115" i="2" a="1"/>
  <c r="T115" i="2" s="1"/>
  <c r="T116" i="2" a="1"/>
  <c r="T116" i="2" s="1"/>
  <c r="T117" i="2" a="1"/>
  <c r="T117" i="2"/>
  <c r="T118" i="2" a="1"/>
  <c r="T118" i="2" s="1"/>
  <c r="T119" i="2" a="1"/>
  <c r="T119" i="2" s="1"/>
  <c r="T120" i="2" a="1"/>
  <c r="T120" i="2" s="1"/>
  <c r="T121" i="2" a="1"/>
  <c r="T121" i="2" s="1"/>
  <c r="T122" i="2" a="1"/>
  <c r="T122" i="2" s="1"/>
  <c r="T123" i="2" a="1"/>
  <c r="T123" i="2" s="1"/>
  <c r="T124" i="2" a="1"/>
  <c r="T124" i="2" s="1"/>
  <c r="T125" i="2" a="1"/>
  <c r="T125" i="2" s="1"/>
  <c r="T126" i="2" a="1"/>
  <c r="T126" i="2"/>
  <c r="T127" i="2" a="1"/>
  <c r="T127" i="2"/>
  <c r="T128" i="2" a="1"/>
  <c r="T128" i="2" s="1"/>
  <c r="T129" i="2" a="1"/>
  <c r="T129" i="2" s="1"/>
  <c r="T130" i="2" a="1"/>
  <c r="T130" i="2" s="1"/>
  <c r="T131" i="2" a="1"/>
  <c r="T131" i="2" s="1"/>
  <c r="T132" i="2" a="1"/>
  <c r="T132" i="2" s="1"/>
  <c r="T133" i="2" a="1"/>
  <c r="T133" i="2" s="1"/>
  <c r="T134" i="2" a="1"/>
  <c r="T134" i="2"/>
  <c r="T135" i="2" a="1"/>
  <c r="T135" i="2" s="1"/>
  <c r="T136" i="2" a="1"/>
  <c r="T136" i="2"/>
  <c r="T137" i="2" a="1"/>
  <c r="T137" i="2" s="1"/>
  <c r="T138" i="2" a="1"/>
  <c r="T138" i="2" s="1"/>
  <c r="T139" i="2" a="1"/>
  <c r="T139" i="2" s="1"/>
  <c r="T140" i="2" a="1"/>
  <c r="T140" i="2" s="1"/>
  <c r="T141" i="2" a="1"/>
  <c r="T141" i="2" s="1"/>
  <c r="T142" i="2" a="1"/>
  <c r="T142" i="2"/>
  <c r="T143" i="2" a="1"/>
  <c r="T143" i="2" s="1"/>
  <c r="T144" i="2" a="1"/>
  <c r="T144" i="2"/>
  <c r="T145" i="2" a="1"/>
  <c r="T145" i="2"/>
  <c r="T146" i="2" a="1"/>
  <c r="T146" i="2" s="1"/>
  <c r="T147" i="2" a="1"/>
  <c r="T147" i="2" s="1"/>
  <c r="T148" i="2" a="1"/>
  <c r="T148" i="2" s="1"/>
  <c r="T149" i="2" a="1"/>
  <c r="T149" i="2" s="1"/>
  <c r="T150" i="2" a="1"/>
  <c r="T150" i="2"/>
  <c r="T151" i="2" a="1"/>
  <c r="T151" i="2" s="1"/>
  <c r="T152" i="2" a="1"/>
  <c r="T152" i="2" s="1"/>
  <c r="T153" i="2" a="1"/>
  <c r="T153" i="2"/>
  <c r="T154" i="2" a="1"/>
  <c r="T154" i="2" s="1"/>
  <c r="T155" i="2" a="1"/>
  <c r="T155" i="2" s="1"/>
  <c r="T156" i="2" a="1"/>
  <c r="T156" i="2" s="1"/>
  <c r="T157" i="2" a="1"/>
  <c r="T157" i="2"/>
  <c r="T158" i="2" a="1"/>
  <c r="T158" i="2" s="1"/>
  <c r="T159" i="2" a="1"/>
  <c r="T159" i="2"/>
  <c r="T160" i="2" a="1"/>
  <c r="T160" i="2" s="1"/>
  <c r="T161" i="2" a="1"/>
  <c r="T161" i="2" s="1"/>
  <c r="T162" i="2" a="1"/>
  <c r="T162" i="2" s="1"/>
  <c r="T163" i="2" a="1"/>
  <c r="T163" i="2" s="1"/>
  <c r="T164" i="2" a="1"/>
  <c r="T164" i="2" s="1"/>
  <c r="T165" i="2" a="1"/>
  <c r="T165" i="2"/>
  <c r="T166" i="2" a="1"/>
  <c r="T166" i="2" s="1"/>
  <c r="T167" i="2" a="1"/>
  <c r="T167" i="2" s="1"/>
  <c r="T168" i="2" a="1"/>
  <c r="T168" i="2" s="1"/>
  <c r="T169" i="2" a="1"/>
  <c r="T169" i="2"/>
  <c r="T170" i="2" a="1"/>
  <c r="T170" i="2" s="1"/>
  <c r="T171" i="2" a="1"/>
  <c r="T171" i="2" s="1"/>
  <c r="T172" i="2" a="1"/>
  <c r="T172" i="2" s="1"/>
  <c r="T173" i="2" a="1"/>
  <c r="T173" i="2" s="1"/>
  <c r="T174" i="2" a="1"/>
  <c r="T174" i="2" s="1"/>
  <c r="T175" i="2" a="1"/>
  <c r="T175" i="2"/>
  <c r="T176" i="2" a="1"/>
  <c r="T176" i="2"/>
  <c r="T177" i="2" a="1"/>
  <c r="T177" i="2" s="1"/>
  <c r="T178" i="2" a="1"/>
  <c r="T178" i="2" s="1"/>
  <c r="T179" i="2" a="1"/>
  <c r="T179" i="2" s="1"/>
  <c r="T180" i="2" a="1"/>
  <c r="T180" i="2" s="1"/>
  <c r="T181" i="2" a="1"/>
  <c r="T181" i="2"/>
  <c r="T182" i="2" a="1"/>
  <c r="T182" i="2"/>
  <c r="T183" i="2" a="1"/>
  <c r="T183" i="2" s="1"/>
  <c r="T184" i="2" a="1"/>
  <c r="T184" i="2" s="1"/>
  <c r="T185" i="2" a="1"/>
  <c r="T185" i="2" s="1"/>
  <c r="T186" i="2" a="1"/>
  <c r="T186" i="2" s="1"/>
  <c r="T187" i="2" a="1"/>
  <c r="T187" i="2" s="1"/>
  <c r="T188" i="2" a="1"/>
  <c r="T188" i="2" s="1"/>
  <c r="T189" i="2" a="1"/>
  <c r="T189" i="2"/>
  <c r="T190" i="2" a="1"/>
  <c r="T190" i="2"/>
  <c r="T191" i="2" a="1"/>
  <c r="T191" i="2"/>
  <c r="T192" i="2" a="1"/>
  <c r="T192" i="2"/>
  <c r="T193" i="2" a="1"/>
  <c r="T193" i="2" s="1"/>
  <c r="T194" i="2" a="1"/>
  <c r="T194" i="2" s="1"/>
  <c r="T195" i="2" a="1"/>
  <c r="T195" i="2" s="1"/>
  <c r="T196" i="2" a="1"/>
  <c r="T196" i="2" s="1"/>
  <c r="T197" i="2" a="1"/>
  <c r="T197" i="2" s="1"/>
  <c r="T198" i="2" a="1"/>
  <c r="T198" i="2"/>
  <c r="T199" i="2" a="1"/>
  <c r="T199" i="2"/>
  <c r="T200" i="2" a="1"/>
  <c r="T200" i="2"/>
  <c r="T201" i="2" a="1"/>
  <c r="T201" i="2" s="1"/>
  <c r="T202" i="2" a="1"/>
  <c r="T202" i="2" s="1"/>
  <c r="T203" i="2" a="1"/>
  <c r="T203" i="2" s="1"/>
  <c r="T204" i="2" a="1"/>
  <c r="T204" i="2" s="1"/>
  <c r="T205" i="2" a="1"/>
  <c r="T205" i="2"/>
  <c r="T206" i="2" a="1"/>
  <c r="T206" i="2"/>
  <c r="T207" i="2" a="1"/>
  <c r="T207" i="2"/>
  <c r="T208" i="2" a="1"/>
  <c r="T208" i="2" s="1"/>
  <c r="T209" i="2" a="1"/>
  <c r="T209" i="2"/>
  <c r="T210" i="2" a="1"/>
  <c r="T210" i="2" s="1"/>
  <c r="T211" i="2" a="1"/>
  <c r="T211" i="2" s="1"/>
  <c r="T212" i="2" a="1"/>
  <c r="T212" i="2" s="1"/>
  <c r="T213" i="2" a="1"/>
  <c r="T213" i="2" s="1"/>
  <c r="T214" i="2" a="1"/>
  <c r="T214" i="2" s="1"/>
  <c r="T215" i="2" a="1"/>
  <c r="T215" i="2"/>
  <c r="T216" i="2" a="1"/>
  <c r="T216" i="2" s="1"/>
  <c r="T217" i="2" a="1"/>
  <c r="T217" i="2" s="1"/>
  <c r="T218" i="2" a="1"/>
  <c r="T218" i="2" s="1"/>
  <c r="T219" i="2" a="1"/>
  <c r="T219" i="2" s="1"/>
  <c r="T220" i="2" a="1"/>
  <c r="T220" i="2" s="1"/>
  <c r="T221" i="2" a="1"/>
  <c r="T221" i="2"/>
  <c r="T222" i="2" a="1"/>
  <c r="T222" i="2" s="1"/>
  <c r="T223" i="2" a="1"/>
  <c r="T223" i="2" s="1"/>
  <c r="T224" i="2" a="1"/>
  <c r="T224" i="2" s="1"/>
  <c r="T225" i="2" a="1"/>
  <c r="T225" i="2" s="1"/>
  <c r="T226" i="2" a="1"/>
  <c r="T226" i="2" s="1"/>
  <c r="T227" i="2" a="1"/>
  <c r="T227" i="2" s="1"/>
  <c r="T228" i="2" a="1"/>
  <c r="T228" i="2" s="1"/>
  <c r="T229" i="2" a="1"/>
  <c r="T229" i="2" s="1"/>
  <c r="T230" i="2" a="1"/>
  <c r="T230" i="2"/>
  <c r="T231" i="2" a="1"/>
  <c r="T231" i="2" s="1"/>
  <c r="T232" i="2" a="1"/>
  <c r="T232" i="2" s="1"/>
  <c r="T233" i="2" a="1"/>
  <c r="T233" i="2" s="1"/>
  <c r="T234" i="2" a="1"/>
  <c r="T234" i="2" s="1"/>
  <c r="T235" i="2" a="1"/>
  <c r="T235" i="2" s="1"/>
  <c r="T236" i="2" a="1"/>
  <c r="T236" i="2" s="1"/>
  <c r="T237" i="2" a="1"/>
  <c r="T237" i="2"/>
  <c r="T238" i="2" a="1"/>
  <c r="T238" i="2" s="1"/>
  <c r="T239" i="2" a="1"/>
  <c r="T239" i="2" s="1"/>
  <c r="T240" i="2" a="1"/>
  <c r="T240" i="2"/>
  <c r="T241" i="2" a="1"/>
  <c r="T241" i="2"/>
  <c r="T242" i="2" a="1"/>
  <c r="T242" i="2" s="1"/>
  <c r="T243" i="2" a="1"/>
  <c r="T243" i="2" s="1"/>
  <c r="T244" i="2" a="1"/>
  <c r="T244" i="2" s="1"/>
  <c r="T245" i="2" a="1"/>
  <c r="T245" i="2" s="1"/>
  <c r="T246" i="2" a="1"/>
  <c r="T246" i="2"/>
  <c r="T247" i="2" a="1"/>
  <c r="T247" i="2"/>
  <c r="T248" i="2" a="1"/>
  <c r="T248" i="2" s="1"/>
  <c r="T249" i="2" a="1"/>
  <c r="T249" i="2" s="1"/>
  <c r="T250" i="2" a="1"/>
  <c r="T250" i="2" s="1"/>
  <c r="T251" i="2" a="1"/>
  <c r="T251" i="2" s="1"/>
  <c r="S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R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Q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O2" i="2"/>
  <c r="P2" i="2" s="1"/>
  <c r="O3" i="2"/>
  <c r="P3" i="2" s="1"/>
  <c r="O4" i="2"/>
  <c r="P4" i="2" s="1"/>
  <c r="O5" i="2"/>
  <c r="P5" i="2" s="1"/>
  <c r="O6" i="2"/>
  <c r="P6" i="2" s="1"/>
  <c r="O7" i="2"/>
  <c r="P7" i="2" s="1"/>
  <c r="O8" i="2"/>
  <c r="P8" i="2" s="1"/>
  <c r="O9" i="2"/>
  <c r="P9" i="2" s="1"/>
  <c r="O10" i="2"/>
  <c r="P10" i="2" s="1"/>
  <c r="O11" i="2"/>
  <c r="P11" i="2" s="1"/>
  <c r="O12" i="2"/>
  <c r="P12" i="2" s="1"/>
  <c r="O13" i="2"/>
  <c r="P13" i="2" s="1"/>
  <c r="O14" i="2"/>
  <c r="P14" i="2" s="1"/>
  <c r="O15" i="2"/>
  <c r="P15" i="2" s="1"/>
  <c r="O16" i="2"/>
  <c r="P16" i="2" s="1"/>
  <c r="O17" i="2"/>
  <c r="P17" i="2" s="1"/>
  <c r="O18" i="2"/>
  <c r="P18" i="2" s="1"/>
  <c r="O19" i="2"/>
  <c r="P19" i="2" s="1"/>
  <c r="O20" i="2"/>
  <c r="P20" i="2" s="1"/>
  <c r="O21" i="2"/>
  <c r="P21" i="2" s="1"/>
  <c r="O22" i="2"/>
  <c r="P22" i="2" s="1"/>
  <c r="O23" i="2"/>
  <c r="P23" i="2" s="1"/>
  <c r="O24" i="2"/>
  <c r="P24" i="2" s="1"/>
  <c r="O25" i="2"/>
  <c r="P25" i="2" s="1"/>
  <c r="O26" i="2"/>
  <c r="P26" i="2" s="1"/>
  <c r="O27" i="2"/>
  <c r="P27" i="2" s="1"/>
  <c r="O28" i="2"/>
  <c r="P28" i="2" s="1"/>
  <c r="O29" i="2"/>
  <c r="P29" i="2" s="1"/>
  <c r="O30" i="2"/>
  <c r="P30" i="2" s="1"/>
  <c r="O31" i="2"/>
  <c r="P31" i="2" s="1"/>
  <c r="O32" i="2"/>
  <c r="P32" i="2" s="1"/>
  <c r="O33" i="2"/>
  <c r="P33" i="2" s="1"/>
  <c r="O34" i="2"/>
  <c r="P34" i="2" s="1"/>
  <c r="O35" i="2"/>
  <c r="P35" i="2" s="1"/>
  <c r="O36" i="2"/>
  <c r="P36" i="2" s="1"/>
  <c r="O37" i="2"/>
  <c r="P37" i="2" s="1"/>
  <c r="O38" i="2"/>
  <c r="P38" i="2" s="1"/>
  <c r="O39" i="2"/>
  <c r="P39" i="2" s="1"/>
  <c r="O40" i="2"/>
  <c r="P40" i="2" s="1"/>
  <c r="O41" i="2"/>
  <c r="P41" i="2" s="1"/>
  <c r="O42" i="2"/>
  <c r="P42" i="2" s="1"/>
  <c r="O43" i="2"/>
  <c r="P43" i="2" s="1"/>
  <c r="O44" i="2"/>
  <c r="P44" i="2" s="1"/>
  <c r="O45" i="2"/>
  <c r="P45" i="2" s="1"/>
  <c r="O46" i="2"/>
  <c r="P46" i="2" s="1"/>
  <c r="O47" i="2"/>
  <c r="P47" i="2" s="1"/>
  <c r="O48" i="2"/>
  <c r="P48" i="2" s="1"/>
  <c r="O49" i="2"/>
  <c r="P49" i="2" s="1"/>
  <c r="O50" i="2"/>
  <c r="P50" i="2" s="1"/>
  <c r="O51" i="2"/>
  <c r="P51" i="2" s="1"/>
  <c r="O52" i="2"/>
  <c r="P52" i="2" s="1"/>
  <c r="O53" i="2"/>
  <c r="P53" i="2" s="1"/>
  <c r="O54" i="2"/>
  <c r="P54" i="2" s="1"/>
  <c r="O55" i="2"/>
  <c r="P55" i="2" s="1"/>
  <c r="O56" i="2"/>
  <c r="P56" i="2" s="1"/>
  <c r="O57" i="2"/>
  <c r="P57" i="2" s="1"/>
  <c r="O58" i="2"/>
  <c r="P58" i="2" s="1"/>
  <c r="O59" i="2"/>
  <c r="P59" i="2" s="1"/>
  <c r="O60" i="2"/>
  <c r="P60" i="2" s="1"/>
  <c r="O61" i="2"/>
  <c r="P61" i="2" s="1"/>
  <c r="O62" i="2"/>
  <c r="P62" i="2" s="1"/>
  <c r="O63" i="2"/>
  <c r="P63" i="2" s="1"/>
  <c r="O64" i="2"/>
  <c r="P64" i="2" s="1"/>
  <c r="O65" i="2"/>
  <c r="P65" i="2" s="1"/>
  <c r="O66" i="2"/>
  <c r="P66" i="2" s="1"/>
  <c r="O67" i="2"/>
  <c r="P67" i="2" s="1"/>
  <c r="O68" i="2"/>
  <c r="P68" i="2" s="1"/>
  <c r="O69" i="2"/>
  <c r="P69" i="2" s="1"/>
  <c r="O70" i="2"/>
  <c r="P70" i="2" s="1"/>
  <c r="O71" i="2"/>
  <c r="P71" i="2" s="1"/>
  <c r="O72" i="2"/>
  <c r="P72" i="2" s="1"/>
  <c r="O73" i="2"/>
  <c r="P73" i="2" s="1"/>
  <c r="O74" i="2"/>
  <c r="P74" i="2" s="1"/>
  <c r="O75" i="2"/>
  <c r="P75" i="2" s="1"/>
  <c r="O76" i="2"/>
  <c r="P76" i="2" s="1"/>
  <c r="O77" i="2"/>
  <c r="P77" i="2" s="1"/>
  <c r="O78" i="2"/>
  <c r="P78" i="2" s="1"/>
  <c r="O79" i="2"/>
  <c r="P79" i="2" s="1"/>
  <c r="O80" i="2"/>
  <c r="P80" i="2" s="1"/>
  <c r="O81" i="2"/>
  <c r="P81" i="2" s="1"/>
  <c r="O82" i="2"/>
  <c r="P82" i="2" s="1"/>
  <c r="O83" i="2"/>
  <c r="P83" i="2" s="1"/>
  <c r="O84" i="2"/>
  <c r="P84" i="2" s="1"/>
  <c r="O85" i="2"/>
  <c r="P85" i="2" s="1"/>
  <c r="O86" i="2"/>
  <c r="P86" i="2" s="1"/>
  <c r="O87" i="2"/>
  <c r="P87" i="2" s="1"/>
  <c r="O88" i="2"/>
  <c r="P88" i="2" s="1"/>
  <c r="O89" i="2"/>
  <c r="P89" i="2" s="1"/>
  <c r="O90" i="2"/>
  <c r="P90" i="2" s="1"/>
  <c r="O91" i="2"/>
  <c r="P91" i="2" s="1"/>
  <c r="O92" i="2"/>
  <c r="P92" i="2" s="1"/>
  <c r="O93" i="2"/>
  <c r="P93" i="2" s="1"/>
  <c r="O94" i="2"/>
  <c r="P94" i="2" s="1"/>
  <c r="O95" i="2"/>
  <c r="P95" i="2" s="1"/>
  <c r="O96" i="2"/>
  <c r="P96" i="2" s="1"/>
  <c r="O97" i="2"/>
  <c r="P97" i="2" s="1"/>
  <c r="O98" i="2"/>
  <c r="P98" i="2" s="1"/>
  <c r="O99" i="2"/>
  <c r="P99" i="2" s="1"/>
  <c r="O100" i="2"/>
  <c r="P100" i="2" s="1"/>
  <c r="O101" i="2"/>
  <c r="P101" i="2" s="1"/>
  <c r="O102" i="2"/>
  <c r="P102" i="2" s="1"/>
  <c r="O103" i="2"/>
  <c r="P103" i="2" s="1"/>
  <c r="O104" i="2"/>
  <c r="P104" i="2" s="1"/>
  <c r="O105" i="2"/>
  <c r="P105" i="2" s="1"/>
  <c r="O106" i="2"/>
  <c r="P106" i="2" s="1"/>
  <c r="O107" i="2"/>
  <c r="P107" i="2" s="1"/>
  <c r="O108" i="2"/>
  <c r="P108" i="2" s="1"/>
  <c r="O109" i="2"/>
  <c r="P109" i="2" s="1"/>
  <c r="O110" i="2"/>
  <c r="P110" i="2" s="1"/>
  <c r="O111" i="2"/>
  <c r="P111" i="2" s="1"/>
  <c r="O112" i="2"/>
  <c r="P112" i="2" s="1"/>
  <c r="O113" i="2"/>
  <c r="P113" i="2" s="1"/>
  <c r="O114" i="2"/>
  <c r="P114" i="2" s="1"/>
  <c r="O115" i="2"/>
  <c r="P115" i="2" s="1"/>
  <c r="O116" i="2"/>
  <c r="P116" i="2" s="1"/>
  <c r="O117" i="2"/>
  <c r="P117" i="2" s="1"/>
  <c r="O118" i="2"/>
  <c r="P118" i="2" s="1"/>
  <c r="O119" i="2"/>
  <c r="P119" i="2" s="1"/>
  <c r="O120" i="2"/>
  <c r="P120" i="2" s="1"/>
  <c r="O121" i="2"/>
  <c r="P121" i="2" s="1"/>
  <c r="O122" i="2"/>
  <c r="P122" i="2" s="1"/>
  <c r="O123" i="2"/>
  <c r="P123" i="2" s="1"/>
  <c r="O124" i="2"/>
  <c r="P124" i="2" s="1"/>
  <c r="O125" i="2"/>
  <c r="P125" i="2" s="1"/>
  <c r="O126" i="2"/>
  <c r="P126" i="2" s="1"/>
  <c r="O127" i="2"/>
  <c r="P127" i="2" s="1"/>
  <c r="O128" i="2"/>
  <c r="P128" i="2" s="1"/>
  <c r="O129" i="2"/>
  <c r="P129" i="2" s="1"/>
  <c r="O130" i="2"/>
  <c r="P130" i="2" s="1"/>
  <c r="O131" i="2"/>
  <c r="P131" i="2" s="1"/>
  <c r="O132" i="2"/>
  <c r="P132" i="2" s="1"/>
  <c r="O133" i="2"/>
  <c r="P133" i="2" s="1"/>
  <c r="O134" i="2"/>
  <c r="P134" i="2" s="1"/>
  <c r="O135" i="2"/>
  <c r="P135" i="2" s="1"/>
  <c r="O136" i="2"/>
  <c r="P136" i="2" s="1"/>
  <c r="O137" i="2"/>
  <c r="P137" i="2" s="1"/>
  <c r="O138" i="2"/>
  <c r="P138" i="2" s="1"/>
  <c r="O139" i="2"/>
  <c r="P139" i="2" s="1"/>
  <c r="O140" i="2"/>
  <c r="P140" i="2" s="1"/>
  <c r="O141" i="2"/>
  <c r="P141" i="2" s="1"/>
  <c r="O142" i="2"/>
  <c r="P142" i="2" s="1"/>
  <c r="O143" i="2"/>
  <c r="P143" i="2" s="1"/>
  <c r="O144" i="2"/>
  <c r="P144" i="2" s="1"/>
  <c r="O145" i="2"/>
  <c r="P145" i="2" s="1"/>
  <c r="O146" i="2"/>
  <c r="P146" i="2" s="1"/>
  <c r="O147" i="2"/>
  <c r="P147" i="2" s="1"/>
  <c r="O148" i="2"/>
  <c r="P148" i="2" s="1"/>
  <c r="O149" i="2"/>
  <c r="P149" i="2" s="1"/>
  <c r="O150" i="2"/>
  <c r="P150" i="2" s="1"/>
  <c r="O151" i="2"/>
  <c r="P151" i="2" s="1"/>
  <c r="O152" i="2"/>
  <c r="P152" i="2" s="1"/>
  <c r="O153" i="2"/>
  <c r="P153" i="2" s="1"/>
  <c r="O154" i="2"/>
  <c r="P154" i="2" s="1"/>
  <c r="O155" i="2"/>
  <c r="P155" i="2" s="1"/>
  <c r="O156" i="2"/>
  <c r="P156" i="2" s="1"/>
  <c r="O157" i="2"/>
  <c r="P157" i="2" s="1"/>
  <c r="O158" i="2"/>
  <c r="P158" i="2" s="1"/>
  <c r="O159" i="2"/>
  <c r="P159" i="2" s="1"/>
  <c r="O160" i="2"/>
  <c r="P160" i="2" s="1"/>
  <c r="O161" i="2"/>
  <c r="P161" i="2" s="1"/>
  <c r="O162" i="2"/>
  <c r="P162" i="2" s="1"/>
  <c r="O163" i="2"/>
  <c r="P163" i="2" s="1"/>
  <c r="O164" i="2"/>
  <c r="P164" i="2" s="1"/>
  <c r="O165" i="2"/>
  <c r="P165" i="2" s="1"/>
  <c r="O166" i="2"/>
  <c r="P166" i="2" s="1"/>
  <c r="O167" i="2"/>
  <c r="P167" i="2" s="1"/>
  <c r="O168" i="2"/>
  <c r="P168" i="2" s="1"/>
  <c r="O169" i="2"/>
  <c r="P169" i="2" s="1"/>
  <c r="O170" i="2"/>
  <c r="P170" i="2" s="1"/>
  <c r="O171" i="2"/>
  <c r="P171" i="2" s="1"/>
  <c r="O172" i="2"/>
  <c r="P172" i="2" s="1"/>
  <c r="O173" i="2"/>
  <c r="P173" i="2" s="1"/>
  <c r="O174" i="2"/>
  <c r="P174" i="2" s="1"/>
  <c r="O175" i="2"/>
  <c r="P175" i="2" s="1"/>
  <c r="O176" i="2"/>
  <c r="P176" i="2" s="1"/>
  <c r="O177" i="2"/>
  <c r="P177" i="2" s="1"/>
  <c r="O178" i="2"/>
  <c r="P178" i="2" s="1"/>
  <c r="O179" i="2"/>
  <c r="P179" i="2" s="1"/>
  <c r="O180" i="2"/>
  <c r="P180" i="2" s="1"/>
  <c r="O181" i="2"/>
  <c r="P181" i="2" s="1"/>
  <c r="O182" i="2"/>
  <c r="P182" i="2" s="1"/>
  <c r="O183" i="2"/>
  <c r="P183" i="2" s="1"/>
  <c r="O184" i="2"/>
  <c r="P184" i="2" s="1"/>
  <c r="O185" i="2"/>
  <c r="P185" i="2" s="1"/>
  <c r="O186" i="2"/>
  <c r="P186" i="2" s="1"/>
  <c r="O187" i="2"/>
  <c r="P187" i="2" s="1"/>
  <c r="O188" i="2"/>
  <c r="P188" i="2" s="1"/>
  <c r="O189" i="2"/>
  <c r="P189" i="2" s="1"/>
  <c r="O190" i="2"/>
  <c r="P190" i="2" s="1"/>
  <c r="O191" i="2"/>
  <c r="P191" i="2" s="1"/>
  <c r="O192" i="2"/>
  <c r="P192" i="2" s="1"/>
  <c r="O193" i="2"/>
  <c r="P193" i="2" s="1"/>
  <c r="O194" i="2"/>
  <c r="P194" i="2" s="1"/>
  <c r="O195" i="2"/>
  <c r="P195" i="2" s="1"/>
  <c r="O196" i="2"/>
  <c r="P196" i="2" s="1"/>
  <c r="O197" i="2"/>
  <c r="P197" i="2" s="1"/>
  <c r="O198" i="2"/>
  <c r="P198" i="2" s="1"/>
  <c r="O199" i="2"/>
  <c r="P199" i="2" s="1"/>
  <c r="O200" i="2"/>
  <c r="P200" i="2" s="1"/>
  <c r="O201" i="2"/>
  <c r="P201" i="2" s="1"/>
  <c r="O202" i="2"/>
  <c r="P202" i="2" s="1"/>
  <c r="O203" i="2"/>
  <c r="P203" i="2" s="1"/>
  <c r="O204" i="2"/>
  <c r="P204" i="2" s="1"/>
  <c r="O205" i="2"/>
  <c r="P205" i="2" s="1"/>
  <c r="O206" i="2"/>
  <c r="P206" i="2" s="1"/>
  <c r="O207" i="2"/>
  <c r="P207" i="2" s="1"/>
  <c r="O208" i="2"/>
  <c r="P208" i="2" s="1"/>
  <c r="O209" i="2"/>
  <c r="P209" i="2" s="1"/>
  <c r="O210" i="2"/>
  <c r="P210" i="2" s="1"/>
  <c r="O211" i="2"/>
  <c r="P211" i="2" s="1"/>
  <c r="O212" i="2"/>
  <c r="P212" i="2" s="1"/>
  <c r="O213" i="2"/>
  <c r="P213" i="2" s="1"/>
  <c r="O214" i="2"/>
  <c r="P214" i="2" s="1"/>
  <c r="O215" i="2"/>
  <c r="P215" i="2" s="1"/>
  <c r="O216" i="2"/>
  <c r="P216" i="2" s="1"/>
  <c r="O217" i="2"/>
  <c r="P217" i="2" s="1"/>
  <c r="O218" i="2"/>
  <c r="P218" i="2" s="1"/>
  <c r="O219" i="2"/>
  <c r="P219" i="2" s="1"/>
  <c r="O220" i="2"/>
  <c r="P220" i="2" s="1"/>
  <c r="O221" i="2"/>
  <c r="P221" i="2" s="1"/>
  <c r="O222" i="2"/>
  <c r="P222" i="2" s="1"/>
  <c r="O223" i="2"/>
  <c r="P223" i="2" s="1"/>
  <c r="O224" i="2"/>
  <c r="P224" i="2" s="1"/>
  <c r="O225" i="2"/>
  <c r="P225" i="2" s="1"/>
  <c r="O226" i="2"/>
  <c r="P226" i="2" s="1"/>
  <c r="O227" i="2"/>
  <c r="P227" i="2" s="1"/>
  <c r="O228" i="2"/>
  <c r="P228" i="2" s="1"/>
  <c r="O229" i="2"/>
  <c r="P229" i="2" s="1"/>
  <c r="O230" i="2"/>
  <c r="P230" i="2" s="1"/>
  <c r="O231" i="2"/>
  <c r="P231" i="2" s="1"/>
  <c r="O232" i="2"/>
  <c r="P232" i="2" s="1"/>
  <c r="O233" i="2"/>
  <c r="P233" i="2" s="1"/>
  <c r="O234" i="2"/>
  <c r="P234" i="2" s="1"/>
  <c r="O235" i="2"/>
  <c r="P235" i="2" s="1"/>
  <c r="O236" i="2"/>
  <c r="P236" i="2" s="1"/>
  <c r="O237" i="2"/>
  <c r="P237" i="2" s="1"/>
  <c r="O238" i="2"/>
  <c r="P238" i="2" s="1"/>
  <c r="O239" i="2"/>
  <c r="P239" i="2" s="1"/>
  <c r="O240" i="2"/>
  <c r="P240" i="2" s="1"/>
  <c r="O241" i="2"/>
  <c r="P241" i="2" s="1"/>
  <c r="O242" i="2"/>
  <c r="P242" i="2" s="1"/>
  <c r="O243" i="2"/>
  <c r="P243" i="2" s="1"/>
  <c r="O244" i="2"/>
  <c r="P244" i="2" s="1"/>
  <c r="O245" i="2"/>
  <c r="P245" i="2" s="1"/>
  <c r="O246" i="2"/>
  <c r="P246" i="2" s="1"/>
  <c r="O247" i="2"/>
  <c r="P247" i="2" s="1"/>
  <c r="O248" i="2"/>
  <c r="P248" i="2" s="1"/>
  <c r="O249" i="2"/>
  <c r="P249" i="2" s="1"/>
  <c r="O250" i="2"/>
  <c r="P250" i="2" s="1"/>
  <c r="O251" i="2"/>
  <c r="P251"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<sst xmlns="http://schemas.openxmlformats.org/spreadsheetml/2006/main" count="2330" uniqueCount="421">
  <si>
    <t>PR. Final Project - "Data Intelligence Dashboard"</t>
  </si>
  <si>
    <r>
      <rPr>
        <b/>
        <sz val="11"/>
        <color theme="1"/>
        <rFont val="Calibri"/>
      </rPr>
      <t xml:space="preserve">Dataset: </t>
    </r>
    <r>
      <rPr>
        <sz val="11"/>
        <color theme="1"/>
        <rFont val="Calibri"/>
      </rPr>
      <t xml:space="preserve">Use the 'Final Project Dataset' sheet containing 200+ records of customer transactions.
</t>
    </r>
    <r>
      <rPr>
        <b/>
        <sz val="11"/>
        <color theme="1"/>
        <rFont val="Calibri"/>
      </rPr>
      <t xml:space="preserve">Objective: </t>
    </r>
    <r>
      <rPr>
        <sz val="11"/>
        <color theme="1"/>
        <rFont val="Calibri"/>
      </rPr>
      <t xml:space="preserve">
Create a full-fledged analysis and reporting solution using Excel to analyze customer transactions, find insights, 
and build visualizations and dashboards.
</t>
    </r>
    <r>
      <rPr>
        <b/>
        <sz val="11"/>
        <color rgb="FF367526"/>
        <rFont val="Calibri"/>
      </rPr>
      <t xml:space="preserve">Key Topics to Implement:
</t>
    </r>
    <r>
      <rPr>
        <sz val="11"/>
        <color rgb="FF38761D"/>
        <rFont val="Calibri"/>
      </rPr>
      <t>- Date &amp; Time Functions: TODAY, NOW, DATEDIF, EOMONTH
- FILTER Function for multi-value returns
- Conditional Formatting with Icons/Arrows
- Create Timestamp (using NOW and iterative calculations)
- WHAT-IF Analysis: Scenario Manager, Goal Seek
- Linear Regression using Data Analysis Toolpak
- Data Analysis &amp; Storytelling from the dataset
- Use GroupBy concepts to find High-Value Customers using formulas
- Create Dashboard using:
    - Pivot Tables
    - Pivot Charts (Bar, Line, Pie)
    - Slicers and Timelines
    - KPI Indicators with Conditional Formatting
- Find most frequently purchased product or repeating names using formulas
- Compare two lists and extract matching names in a new column
- Create Abbreviations using TEXT functions
- Build a final report with insights and storytelling</t>
    </r>
    <r>
      <rPr>
        <sz val="11"/>
        <color theme="1"/>
        <rFont val="Calibri"/>
      </rPr>
      <t xml:space="preserve">
</t>
    </r>
    <r>
      <rPr>
        <b/>
        <sz val="11"/>
        <color theme="1"/>
        <rFont val="Calibri"/>
      </rPr>
      <t xml:space="preserve">Deliverable:
</t>
    </r>
    <r>
      <rPr>
        <sz val="11"/>
        <color theme="1"/>
        <rFont val="Calibri"/>
      </rPr>
      <t>- Well-structured workbook with multiple sheets (Raw Data, Analysis, Visualizations, Dashboard)
- Summary Insights with key metrics: Total Revenue, Top Customers, Most Sold Products, Regional Sales
- Use of all required formulas and functions as listed above</t>
    </r>
  </si>
  <si>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</si>
  <si>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</si>
  <si>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</si>
  <si>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</si>
  <si>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</si>
  <si>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</si>
  <si>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</si>
  <si>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</si>
  <si>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</si>
  <si>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</si>
  <si>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</si>
  <si>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</si>
  <si>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</si>
  <si>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</si>
  <si>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</si>
  <si>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</si>
  <si>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</si>
  <si>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</si>
  <si>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</si>
  <si>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</si>
  <si>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</si>
  <si>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</si>
  <si>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</si>
  <si>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</si>
  <si>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</si>
  <si>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</si>
  <si>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</si>
  <si>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</si>
  <si>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</si>
  <si>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</si>
  <si>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</si>
  <si>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</si>
  <si>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</si>
  <si>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</si>
  <si>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</si>
  <si>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</si>
  <si>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</si>
  <si>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</si>
  <si>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</si>
  <si>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</si>
  <si>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</si>
  <si>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</si>
  <si>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</si>
  <si>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</si>
  <si>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</si>
  <si>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</si>
  <si>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</si>
  <si>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</si>
  <si>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</si>
  <si>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</si>
  <si>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</si>
  <si>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</si>
  <si>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</si>
  <si>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</si>
  <si>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</si>
  <si>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</si>
  <si>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</si>
  <si>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</si>
  <si>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</si>
  <si>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</si>
  <si>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</si>
  <si>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</si>
  <si>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</si>
  <si>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</si>
  <si>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</si>
  <si>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</si>
  <si>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</si>
  <si>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</si>
  <si>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</si>
  <si>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</si>
  <si>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</si>
  <si>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</si>
  <si>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</si>
  <si>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</si>
  <si>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</si>
  <si>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</si>
  <si>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</si>
  <si>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</si>
  <si>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</si>
  <si>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</si>
  <si>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</si>
  <si>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</si>
  <si>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</si>
  <si>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</si>
  <si>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</si>
  <si>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</si>
  <si>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</si>
  <si>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</si>
  <si>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</si>
  <si>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</si>
  <si>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</si>
  <si>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</si>
  <si>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</si>
  <si>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</si>
  <si>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</si>
  <si>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</si>
  <si>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</si>
  <si>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</si>
  <si>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</si>
  <si>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</si>
  <si>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</si>
  <si>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</si>
  <si>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</si>
  <si>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</si>
  <si>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</si>
  <si>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</si>
  <si>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</si>
  <si>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</si>
  <si>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</si>
  <si>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</si>
  <si>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</si>
  <si>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</si>
  <si>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</si>
  <si>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</si>
  <si>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</si>
  <si>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</si>
  <si>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</si>
  <si>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</si>
  <si>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</si>
  <si>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</si>
  <si>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</si>
  <si>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</si>
  <si>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</si>
  <si>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</si>
  <si>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</si>
  <si>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</si>
  <si>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</si>
  <si>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</si>
  <si>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</si>
  <si>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</si>
  <si>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</si>
  <si>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</si>
  <si>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</si>
  <si>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</si>
  <si>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</si>
  <si>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</si>
  <si>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</si>
  <si>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</si>
  <si>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</si>
  <si>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</si>
  <si>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</si>
  <si>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</si>
  <si>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</si>
  <si>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</si>
  <si>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</si>
  <si>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</si>
  <si>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</si>
  <si>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</si>
  <si>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</si>
  <si>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</si>
  <si>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</si>
  <si>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</si>
  <si>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</si>
  <si>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</si>
  <si>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</si>
  <si>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</si>
  <si>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</si>
  <si>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</si>
  <si>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</si>
  <si>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</si>
  <si>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</si>
  <si>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</si>
  <si>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</si>
  <si>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</si>
  <si>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</si>
  <si>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</si>
  <si>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</si>
  <si>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</si>
  <si>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</si>
  <si>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</si>
  <si>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</si>
  <si>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</si>
  <si>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</si>
  <si>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</si>
  <si>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</si>
  <si>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</si>
  <si>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</si>
  <si>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</si>
  <si>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</si>
  <si>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</si>
  <si>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</si>
  <si>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</si>
  <si>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</si>
  <si>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</si>
  <si>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</si>
  <si>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</si>
  <si>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</si>
  <si>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</si>
  <si>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</si>
  <si>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</si>
  <si>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</si>
  <si>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</si>
  <si>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</si>
  <si>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</si>
  <si>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</si>
  <si>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</si>
  <si>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</si>
  <si>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</si>
  <si>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</si>
  <si>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</si>
  <si>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</si>
  <si>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</si>
  <si>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</si>
  <si>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</si>
  <si>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</si>
  <si>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</si>
  <si>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</si>
  <si>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</si>
  <si>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</si>
  <si>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</si>
  <si>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</si>
  <si>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</si>
  <si>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</si>
  <si>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</si>
  <si>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</si>
  <si>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</si>
  <si>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</si>
  <si>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</si>
  <si>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</si>
  <si>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</si>
  <si>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</si>
  <si>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</si>
  <si>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</si>
  <si>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</si>
  <si>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</si>
  <si>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</si>
  <si>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</si>
  <si>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</si>
  <si>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</si>
  <si>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</si>
  <si>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</si>
  <si>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</si>
  <si>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</si>
  <si>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</si>
  <si>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</si>
  <si>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</si>
  <si>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</si>
  <si>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</si>
  <si>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</si>
  <si>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</si>
  <si>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</si>
  <si>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</si>
  <si>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</si>
  <si>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</si>
  <si>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</si>
  <si>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</si>
  <si>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</si>
  <si>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</si>
  <si>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</si>
  <si>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</si>
  <si>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</si>
  <si>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</si>
  <si>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</si>
  <si>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</si>
  <si>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</si>
  <si>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</si>
  <si>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</si>
  <si>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</si>
  <si>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</si>
  <si>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</si>
  <si>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</si>
  <si>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</si>
  <si>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</si>
  <si>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</si>
  <si>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</si>
  <si>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</si>
  <si>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</si>
  <si>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</si>
  <si>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</si>
  <si>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</si>
  <si>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</si>
  <si>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</si>
  <si>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</si>
  <si>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</si>
  <si>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</si>
  <si>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</si>
  <si>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</si>
  <si>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</si>
  <si>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</si>
  <si>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</si>
  <si>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</si>
  <si>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</si>
  <si>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</si>
  <si>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</si>
  <si>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</si>
  <si>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</si>
  <si>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</si>
  <si>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</si>
  <si>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</si>
  <si>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</si>
  <si>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</si>
  <si>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</si>
  <si>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</si>
  <si>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</si>
  <si>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</si>
  <si>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</si>
  <si>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</si>
  <si>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</si>
  <si>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</si>
  <si>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</si>
  <si>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</si>
  <si>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</si>
  <si>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</si>
  <si>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</si>
  <si>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</si>
  <si>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</si>
  <si>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</si>
  <si>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</si>
  <si>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</si>
  <si>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</si>
  <si>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</si>
  <si>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</si>
  <si>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</si>
  <si>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</si>
  <si>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</si>
  <si>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</si>
  <si>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</si>
  <si>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</si>
  <si>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</si>
  <si>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</si>
  <si>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</si>
  <si>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</si>
  <si>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</si>
  <si>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</si>
  <si>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</si>
  <si>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</si>
  <si>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</si>
  <si>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</si>
  <si>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</si>
  <si>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</si>
  <si>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</si>
  <si>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</si>
  <si>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</si>
  <si>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</si>
  <si>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</si>
  <si>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</si>
  <si>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</si>
  <si>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</si>
  <si>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</si>
  <si>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</si>
  <si>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</si>
  <si>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</si>
  <si>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</si>
  <si>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</si>
  <si>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</si>
  <si>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</si>
  <si>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</si>
  <si>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</si>
  <si>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</si>
  <si>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</si>
  <si>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</si>
  <si>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</si>
  <si>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</si>
  <si>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</si>
  <si>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</si>
  <si>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</si>
  <si>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</si>
  <si>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</si>
  <si>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</si>
  <si>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</si>
  <si>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</si>
  <si>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</si>
  <si>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</si>
  <si>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</si>
  <si>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</si>
  <si>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</si>
  <si>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</si>
  <si>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</si>
  <si>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</si>
  <si>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</si>
  <si>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</si>
  <si>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</si>
  <si>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</si>
  <si>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</si>
  <si>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</si>
  <si>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</si>
  <si>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</si>
  <si>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</si>
  <si>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</si>
  <si>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</si>
  <si>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</si>
  <si>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</si>
  <si>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</si>
  <si>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</si>
  <si>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</si>
  <si>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</si>
  <si>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</si>
  <si>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</si>
  <si>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</si>
  <si>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</si>
  <si>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</si>
  <si>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</si>
  <si>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</si>
  <si>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</si>
  <si>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</si>
  <si>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</si>
  <si>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</si>
  <si>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</si>
  <si>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</si>
  <si>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Date_Time</t>
  </si>
  <si>
    <t>Timestamp</t>
  </si>
  <si>
    <t>Goal seek</t>
  </si>
  <si>
    <t>High</t>
  </si>
  <si>
    <t>New total</t>
  </si>
  <si>
    <t>Total revenue(High)</t>
  </si>
  <si>
    <t>Festival sale</t>
  </si>
  <si>
    <t>Discount Sale</t>
  </si>
  <si>
    <t>Row Labels</t>
  </si>
  <si>
    <t>Sum of Unit_Price</t>
  </si>
  <si>
    <t>Grand Total</t>
  </si>
  <si>
    <t>Sum of Total_Amount</t>
  </si>
  <si>
    <t>Sum of Goal seek</t>
  </si>
  <si>
    <t>Sum of High</t>
  </si>
  <si>
    <t>Sum of New total</t>
  </si>
  <si>
    <t>Sum of Total revenue(High)</t>
  </si>
  <si>
    <t>Sum of Discount Sale</t>
  </si>
  <si>
    <t>Sum of Festival sale</t>
  </si>
  <si>
    <t>Dashboard</t>
  </si>
  <si>
    <t>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</si>
</sst>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9" x14ac:knownFonts="1">
    <font>
      <sz val="11"/>
      <color theme="1"/>
      <name val="Calibri"/>
      <scheme val="minor"/>
    </font>
    <font>
      <b/>
      <sz val="11"/>
      <color theme="1"/>
      <name val="Calibri"/>
    </font>
    <font>
      <sz val="11"/>
      <color theme="1"/>
      <name val="Calibri"/>
      <scheme val="minor"/>
    </font>
    <font>
      <sz val="11"/>
      <color theme="1"/>
      <name val="Calibri"/>
    </font>
    <font>
      <b/>
      <sz val="11"/>
      <color theme="1"/>
      <name val="Calibri"/>
      <scheme val="minor"/>
    </font>
    <font>
      <b/>
      <sz val="11"/>
      <color rgb="FF367526"/>
      <name val="Calibri"/>
    </font>
    <font>
      <sz val="11"/>
      <color rgb="FF38761D"/>
      <name val="Calibri"/>
    </font>
    <font>
      <sz val="36"/>
      <color theme="2"/>
      <name val="Eras Demi ITC"/>
      <family val="2"/>
    </font>
    <font>
      <sz val="11"/>
      <color theme="1"/>
      <name val="Eras Demi ITC"/>
      <family val="2"/>
    </font>
  </fonts>
  <fills count="4">
    <fill>
      <patternFill patternType="none"/>
    </fill>
    <fill>
      <patternFill patternType="gray125"/>
    </fill>
    <fill>
      <patternFill patternType="solid">
        <fgColor rgb="FFFFF2CC"/>
        <bgColor rgb="FFFFF2CC"/>
      </patternFill>
    </fill>
    <fill>
      <patternFill patternType="solid">
        <fgColor rgb="FF000E6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center"/>
    </xf>
    <xf numFmtId="0" fontId="2" fillId="0" borderId="0" xfId="0" applyFont="1" applyAlignment="1">
      <alignment horizontal="center" vertical="center"/>
    </xf>
    <xf numFmtId="0" fontId="4" fillId="0" borderId="0" xfId="0" applyFont="1"/>
    <xf numFmtId="0" fontId="2" fillId="0" borderId="0" xfId="0" applyFont="1"/>
    <xf numFmtId="164" fontId="2" fillId="0" borderId="0" xfId="0" applyNumberFormat="1" applyFont="1"/>
    <xf numFmtId="0" fontId="3" fillId="0" borderId="1" xfId="0" applyFont="1" applyBorder="1" applyAlignment="1">
      <alignment wrapText="1"/>
    </xf>
    <xf numFmtId="22"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3" borderId="0" xfId="0" applyFill="1"/>
    <xf numFmtId="0" fontId="7" fillId="3" borderId="0" xfId="0" applyFont="1" applyFill="1" applyAlignment="1">
      <alignment horizontal="center"/>
    </xf>
    <xf numFmtId="0" fontId="8" fillId="3" borderId="0" xfId="0" applyFont="1" applyFill="1" applyAlignment="1">
      <alignment horizontal="center"/>
    </xf>
  </cellXfs>
  <cellStyles count="1">
    <cellStyle name="Normal" xfId="0" builtinId="0"/>
  </cellStyles>
  <dxfs count="25">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numFmt numFmtId="27" formatCode="dd/mm/yyyy\ hh:mm"/>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64" formatCode="yyyy\-mm\-dd"/>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64" formatCode="yyyy\-mm\-dd"/>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dxf>
  </dxfs>
  <tableStyles count="0" defaultTableStyle="TableStyleMedium2" defaultPivotStyle="PivotStyleLight16"/>
  <colors>
    <mruColors>
      <color rgb="FF000E6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Project.xlsx]Sheet1!PivotTable2</c:name>
    <c:fmtId val="5"/>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Sheet1!$B$3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9FD7-4C07-BB83-0ADEA01810AB}"/>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9FD7-4C07-BB83-0ADEA01810AB}"/>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9FD7-4C07-BB83-0ADEA01810AB}"/>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9FD7-4C07-BB83-0ADEA01810AB}"/>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9FD7-4C07-BB83-0ADEA01810AB}"/>
              </c:ext>
            </c:extLst>
          </c:dPt>
          <c:dLbls>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Sheet1!$A$4:$A$9</c:f>
              <c:strCache>
                <c:ptCount val="5"/>
                <c:pt idx="0">
                  <c:v>Central</c:v>
                </c:pt>
                <c:pt idx="1">
                  <c:v>East</c:v>
                </c:pt>
                <c:pt idx="2">
                  <c:v>North</c:v>
                </c:pt>
                <c:pt idx="3">
                  <c:v>South</c:v>
                </c:pt>
                <c:pt idx="4">
                  <c:v>West</c:v>
                </c:pt>
              </c:strCache>
            </c:strRef>
          </c:cat>
          <c:val>
            <c:numRef>
              <c:f>Sheet1!$B$4:$B$9</c:f>
              <c:numCache>
                <c:formatCode>General</c:formatCode>
                <c:ptCount val="5"/>
                <c:pt idx="0">
                  <c:v>14219.459999999992</c:v>
                </c:pt>
                <c:pt idx="1">
                  <c:v>16569.519999999997</c:v>
                </c:pt>
                <c:pt idx="2">
                  <c:v>19749.41</c:v>
                </c:pt>
                <c:pt idx="3">
                  <c:v>10189.579999999994</c:v>
                </c:pt>
                <c:pt idx="4">
                  <c:v>13439.529999999992</c:v>
                </c:pt>
              </c:numCache>
            </c:numRef>
          </c:val>
          <c:extLst>
            <c:ext xmlns:c16="http://schemas.microsoft.com/office/drawing/2014/chart" uri="{C3380CC4-5D6E-409C-BE32-E72D297353CC}">
              <c16:uniqueId val="{0000000A-9FD7-4C07-BB83-0ADEA01810AB}"/>
            </c:ext>
          </c:extLst>
        </c:ser>
        <c:dLbls>
          <c:dLblPos val="inEnd"/>
          <c:showLegendKey val="0"/>
          <c:showVal val="0"/>
          <c:showCatName val="1"/>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solidFill>
    <a:ln w="19050" cap="flat" cmpd="sng" algn="ctr">
      <a:solidFill>
        <a:schemeClr val="lt1"/>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Project.xlsx]Sheet3!PivotTable6</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Sum of Total revenue(High)</c:v>
                </c:pt>
              </c:strCache>
            </c:strRef>
          </c:tx>
          <c:spPr>
            <a:solidFill>
              <a:schemeClr val="accent1"/>
            </a:solidFill>
            <a:ln>
              <a:noFill/>
            </a:ln>
            <a:effectLst/>
          </c:spPr>
          <c:invertIfNegative val="0"/>
          <c:cat>
            <c:strRef>
              <c:f>Sheet3!$A$4:$A$9</c:f>
              <c:strCache>
                <c:ptCount val="5"/>
                <c:pt idx="0">
                  <c:v>Central</c:v>
                </c:pt>
                <c:pt idx="1">
                  <c:v>East</c:v>
                </c:pt>
                <c:pt idx="2">
                  <c:v>North</c:v>
                </c:pt>
                <c:pt idx="3">
                  <c:v>South</c:v>
                </c:pt>
                <c:pt idx="4">
                  <c:v>West</c:v>
                </c:pt>
              </c:strCache>
            </c:strRef>
          </c:cat>
          <c:val>
            <c:numRef>
              <c:f>Sheet3!$B$4:$B$9</c:f>
              <c:numCache>
                <c:formatCode>General</c:formatCode>
                <c:ptCount val="5"/>
                <c:pt idx="0">
                  <c:v>6840798.1560000032</c:v>
                </c:pt>
                <c:pt idx="1">
                  <c:v>7019220.6120000007</c:v>
                </c:pt>
                <c:pt idx="2">
                  <c:v>8791885.9800000004</c:v>
                </c:pt>
                <c:pt idx="3">
                  <c:v>5758505.3879999984</c:v>
                </c:pt>
                <c:pt idx="4">
                  <c:v>6547071.1200000001</c:v>
                </c:pt>
              </c:numCache>
            </c:numRef>
          </c:val>
          <c:extLst>
            <c:ext xmlns:c16="http://schemas.microsoft.com/office/drawing/2014/chart" uri="{C3380CC4-5D6E-409C-BE32-E72D297353CC}">
              <c16:uniqueId val="{00000000-180D-4282-9E97-904641B297C2}"/>
            </c:ext>
          </c:extLst>
        </c:ser>
        <c:ser>
          <c:idx val="1"/>
          <c:order val="1"/>
          <c:tx>
            <c:strRef>
              <c:f>Sheet3!$C$3</c:f>
              <c:strCache>
                <c:ptCount val="1"/>
                <c:pt idx="0">
                  <c:v>Sum of Discount Sale</c:v>
                </c:pt>
              </c:strCache>
            </c:strRef>
          </c:tx>
          <c:spPr>
            <a:solidFill>
              <a:schemeClr val="accent2"/>
            </a:solidFill>
            <a:ln>
              <a:noFill/>
            </a:ln>
            <a:effectLst/>
          </c:spPr>
          <c:invertIfNegative val="0"/>
          <c:cat>
            <c:strRef>
              <c:f>Sheet3!$A$4:$A$9</c:f>
              <c:strCache>
                <c:ptCount val="5"/>
                <c:pt idx="0">
                  <c:v>Central</c:v>
                </c:pt>
                <c:pt idx="1">
                  <c:v>East</c:v>
                </c:pt>
                <c:pt idx="2">
                  <c:v>North</c:v>
                </c:pt>
                <c:pt idx="3">
                  <c:v>South</c:v>
                </c:pt>
                <c:pt idx="4">
                  <c:v>West</c:v>
                </c:pt>
              </c:strCache>
            </c:strRef>
          </c:cat>
          <c:val>
            <c:numRef>
              <c:f>Sheet3!$C$4:$C$9</c:f>
              <c:numCache>
                <c:formatCode>General</c:formatCode>
                <c:ptCount val="5"/>
                <c:pt idx="0">
                  <c:v>5130598.6170000015</c:v>
                </c:pt>
                <c:pt idx="1">
                  <c:v>5264415.4589999998</c:v>
                </c:pt>
                <c:pt idx="2">
                  <c:v>6593914.4850000031</c:v>
                </c:pt>
                <c:pt idx="3">
                  <c:v>4318879.0410000011</c:v>
                </c:pt>
                <c:pt idx="4">
                  <c:v>4910303.3400000008</c:v>
                </c:pt>
              </c:numCache>
            </c:numRef>
          </c:val>
          <c:extLst>
            <c:ext xmlns:c16="http://schemas.microsoft.com/office/drawing/2014/chart" uri="{C3380CC4-5D6E-409C-BE32-E72D297353CC}">
              <c16:uniqueId val="{00000001-180D-4282-9E97-904641B297C2}"/>
            </c:ext>
          </c:extLst>
        </c:ser>
        <c:ser>
          <c:idx val="2"/>
          <c:order val="2"/>
          <c:tx>
            <c:strRef>
              <c:f>Sheet3!$D$3</c:f>
              <c:strCache>
                <c:ptCount val="1"/>
                <c:pt idx="0">
                  <c:v>Sum of Festival sale</c:v>
                </c:pt>
              </c:strCache>
            </c:strRef>
          </c:tx>
          <c:spPr>
            <a:solidFill>
              <a:schemeClr val="accent3"/>
            </a:solidFill>
            <a:ln>
              <a:noFill/>
            </a:ln>
            <a:effectLst/>
          </c:spPr>
          <c:invertIfNegative val="0"/>
          <c:cat>
            <c:strRef>
              <c:f>Sheet3!$A$4:$A$9</c:f>
              <c:strCache>
                <c:ptCount val="5"/>
                <c:pt idx="0">
                  <c:v>Central</c:v>
                </c:pt>
                <c:pt idx="1">
                  <c:v>East</c:v>
                </c:pt>
                <c:pt idx="2">
                  <c:v>North</c:v>
                </c:pt>
                <c:pt idx="3">
                  <c:v>South</c:v>
                </c:pt>
                <c:pt idx="4">
                  <c:v>West</c:v>
                </c:pt>
              </c:strCache>
            </c:strRef>
          </c:cat>
          <c:val>
            <c:numRef>
              <c:f>Sheet3!$D$4:$D$9</c:f>
              <c:numCache>
                <c:formatCode>General</c:formatCode>
                <c:ptCount val="5"/>
                <c:pt idx="0">
                  <c:v>6227976.6545250025</c:v>
                </c:pt>
                <c:pt idx="1">
                  <c:v>6390415.4321750039</c:v>
                </c:pt>
                <c:pt idx="2">
                  <c:v>8004279.5276250057</c:v>
                </c:pt>
                <c:pt idx="3">
                  <c:v>5242639.280325002</c:v>
                </c:pt>
                <c:pt idx="4">
                  <c:v>5960562.6655000048</c:v>
                </c:pt>
              </c:numCache>
            </c:numRef>
          </c:val>
          <c:extLst>
            <c:ext xmlns:c16="http://schemas.microsoft.com/office/drawing/2014/chart" uri="{C3380CC4-5D6E-409C-BE32-E72D297353CC}">
              <c16:uniqueId val="{00000002-180D-4282-9E97-904641B297C2}"/>
            </c:ext>
          </c:extLst>
        </c:ser>
        <c:dLbls>
          <c:showLegendKey val="0"/>
          <c:showVal val="0"/>
          <c:showCatName val="0"/>
          <c:showSerName val="0"/>
          <c:showPercent val="0"/>
          <c:showBubbleSize val="0"/>
        </c:dLbls>
        <c:gapWidth val="219"/>
        <c:overlap val="-27"/>
        <c:axId val="98214671"/>
        <c:axId val="1816504447"/>
      </c:barChart>
      <c:catAx>
        <c:axId val="98214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816504447"/>
        <c:crosses val="autoZero"/>
        <c:auto val="1"/>
        <c:lblAlgn val="ctr"/>
        <c:lblOffset val="100"/>
        <c:noMultiLvlLbl val="0"/>
      </c:catAx>
      <c:valAx>
        <c:axId val="1816504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8214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solidFill>
    <a:ln w="19050" cap="flat" cmpd="sng" algn="ctr">
      <a:solidFill>
        <a:schemeClr val="lt1"/>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Project.xlsx]Sheet4!PivotTable8</c:name>
    <c:fmtId val="6"/>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s>
    <c:plotArea>
      <c:layout/>
      <c:doughnutChart>
        <c:varyColors val="1"/>
        <c:ser>
          <c:idx val="0"/>
          <c:order val="0"/>
          <c:tx>
            <c:strRef>
              <c:f>Sheet4!$B$3</c:f>
              <c:strCache>
                <c:ptCount val="1"/>
                <c:pt idx="0">
                  <c:v>Sum of Festival sale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56D-4B85-A303-E7650135D1B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56D-4B85-A303-E7650135D1B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56D-4B85-A303-E7650135D1B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56D-4B85-A303-E7650135D1B5}"/>
              </c:ext>
            </c:extLst>
          </c:dPt>
          <c:cat>
            <c:strRef>
              <c:f>Sheet4!$A$4:$A$8</c:f>
              <c:strCache>
                <c:ptCount val="4"/>
                <c:pt idx="0">
                  <c:v>Cash</c:v>
                </c:pt>
                <c:pt idx="1">
                  <c:v>Credit Card</c:v>
                </c:pt>
                <c:pt idx="2">
                  <c:v>Debit Card</c:v>
                </c:pt>
                <c:pt idx="3">
                  <c:v>PayPal</c:v>
                </c:pt>
              </c:strCache>
            </c:strRef>
          </c:cat>
          <c:val>
            <c:numRef>
              <c:f>Sheet4!$B$4:$B$8</c:f>
              <c:numCache>
                <c:formatCode>General</c:formatCode>
                <c:ptCount val="4"/>
                <c:pt idx="0">
                  <c:v>10150798.673250007</c:v>
                </c:pt>
                <c:pt idx="1">
                  <c:v>9653190.760875009</c:v>
                </c:pt>
                <c:pt idx="2">
                  <c:v>6056820.2294250028</c:v>
                </c:pt>
                <c:pt idx="3">
                  <c:v>5965063.8966000034</c:v>
                </c:pt>
              </c:numCache>
            </c:numRef>
          </c:val>
          <c:extLst>
            <c:ext xmlns:c16="http://schemas.microsoft.com/office/drawing/2014/chart" uri="{C3380CC4-5D6E-409C-BE32-E72D297353CC}">
              <c16:uniqueId val="{00000008-F56D-4B85-A303-E7650135D1B5}"/>
            </c:ext>
          </c:extLst>
        </c:ser>
        <c:ser>
          <c:idx val="1"/>
          <c:order val="1"/>
          <c:tx>
            <c:strRef>
              <c:f>Sheet4!$C$3</c:f>
              <c:strCache>
                <c:ptCount val="1"/>
                <c:pt idx="0">
                  <c:v>Sum of Total_Amount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F56D-4B85-A303-E7650135D1B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F56D-4B85-A303-E7650135D1B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F56D-4B85-A303-E7650135D1B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F56D-4B85-A303-E7650135D1B5}"/>
              </c:ext>
            </c:extLst>
          </c:dPt>
          <c:cat>
            <c:strRef>
              <c:f>Sheet4!$A$4:$A$8</c:f>
              <c:strCache>
                <c:ptCount val="4"/>
                <c:pt idx="0">
                  <c:v>Cash</c:v>
                </c:pt>
                <c:pt idx="1">
                  <c:v>Credit Card</c:v>
                </c:pt>
                <c:pt idx="2">
                  <c:v>Debit Card</c:v>
                </c:pt>
                <c:pt idx="3">
                  <c:v>PayPal</c:v>
                </c:pt>
              </c:strCache>
            </c:strRef>
          </c:cat>
          <c:val>
            <c:numRef>
              <c:f>Sheet4!$C$4:$C$8</c:f>
              <c:numCache>
                <c:formatCode>General</c:formatCode>
                <c:ptCount val="4"/>
                <c:pt idx="0">
                  <c:v>57427.790000000023</c:v>
                </c:pt>
                <c:pt idx="1">
                  <c:v>61447.960000000014</c:v>
                </c:pt>
                <c:pt idx="2">
                  <c:v>52118.310000000005</c:v>
                </c:pt>
                <c:pt idx="3">
                  <c:v>58198.409999999996</c:v>
                </c:pt>
              </c:numCache>
            </c:numRef>
          </c:val>
          <c:extLst>
            <c:ext xmlns:c16="http://schemas.microsoft.com/office/drawing/2014/chart" uri="{C3380CC4-5D6E-409C-BE32-E72D297353CC}">
              <c16:uniqueId val="{00000011-F56D-4B85-A303-E7650135D1B5}"/>
            </c:ext>
          </c:extLst>
        </c:ser>
        <c:ser>
          <c:idx val="2"/>
          <c:order val="2"/>
          <c:tx>
            <c:strRef>
              <c:f>Sheet4!$D$3</c:f>
              <c:strCache>
                <c:ptCount val="1"/>
                <c:pt idx="0">
                  <c:v>Sum of Unit_Price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3-F56D-4B85-A303-E7650135D1B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5-F56D-4B85-A303-E7650135D1B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7-F56D-4B85-A303-E7650135D1B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9-F56D-4B85-A303-E7650135D1B5}"/>
              </c:ext>
            </c:extLst>
          </c:dPt>
          <c:cat>
            <c:strRef>
              <c:f>Sheet4!$A$4:$A$8</c:f>
              <c:strCache>
                <c:ptCount val="4"/>
                <c:pt idx="0">
                  <c:v>Cash</c:v>
                </c:pt>
                <c:pt idx="1">
                  <c:v>Credit Card</c:v>
                </c:pt>
                <c:pt idx="2">
                  <c:v>Debit Card</c:v>
                </c:pt>
                <c:pt idx="3">
                  <c:v>PayPal</c:v>
                </c:pt>
              </c:strCache>
            </c:strRef>
          </c:cat>
          <c:val>
            <c:numRef>
              <c:f>Sheet4!$D$4:$D$8</c:f>
              <c:numCache>
                <c:formatCode>General</c:formatCode>
                <c:ptCount val="4"/>
                <c:pt idx="0">
                  <c:v>19929.240000000009</c:v>
                </c:pt>
                <c:pt idx="1">
                  <c:v>20029.320000000018</c:v>
                </c:pt>
                <c:pt idx="2">
                  <c:v>15349.459999999992</c:v>
                </c:pt>
                <c:pt idx="3">
                  <c:v>18859.48</c:v>
                </c:pt>
              </c:numCache>
            </c:numRef>
          </c:val>
          <c:extLst>
            <c:ext xmlns:c16="http://schemas.microsoft.com/office/drawing/2014/chart" uri="{C3380CC4-5D6E-409C-BE32-E72D297353CC}">
              <c16:uniqueId val="{0000001A-F56D-4B85-A303-E7650135D1B5}"/>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solidFill>
    <a:ln w="19050" cap="flat" cmpd="sng" algn="ctr">
      <a:solidFill>
        <a:schemeClr val="lt1"/>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Project.xlsx]Sheet1!PivotTable2</c:name>
    <c:fmtId val="0"/>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Sheet1!$B$3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640B-4FA8-B3F6-5422A69E7D3E}"/>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640B-4FA8-B3F6-5422A69E7D3E}"/>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640B-4FA8-B3F6-5422A69E7D3E}"/>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640B-4FA8-B3F6-5422A69E7D3E}"/>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640B-4FA8-B3F6-5422A69E7D3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Sheet1!$A$4:$A$9</c:f>
              <c:strCache>
                <c:ptCount val="5"/>
                <c:pt idx="0">
                  <c:v>Central</c:v>
                </c:pt>
                <c:pt idx="1">
                  <c:v>East</c:v>
                </c:pt>
                <c:pt idx="2">
                  <c:v>North</c:v>
                </c:pt>
                <c:pt idx="3">
                  <c:v>South</c:v>
                </c:pt>
                <c:pt idx="4">
                  <c:v>West</c:v>
                </c:pt>
              </c:strCache>
            </c:strRef>
          </c:cat>
          <c:val>
            <c:numRef>
              <c:f>Sheet1!$B$4:$B$9</c:f>
              <c:numCache>
                <c:formatCode>General</c:formatCode>
                <c:ptCount val="5"/>
                <c:pt idx="0">
                  <c:v>14219.459999999992</c:v>
                </c:pt>
                <c:pt idx="1">
                  <c:v>16569.519999999997</c:v>
                </c:pt>
                <c:pt idx="2">
                  <c:v>19749.41</c:v>
                </c:pt>
                <c:pt idx="3">
                  <c:v>10189.579999999994</c:v>
                </c:pt>
                <c:pt idx="4">
                  <c:v>13439.529999999992</c:v>
                </c:pt>
              </c:numCache>
            </c:numRef>
          </c:val>
          <c:extLst>
            <c:ext xmlns:c16="http://schemas.microsoft.com/office/drawing/2014/chart" uri="{C3380CC4-5D6E-409C-BE32-E72D297353CC}">
              <c16:uniqueId val="{00000000-EC86-4767-8EDD-0226C32B30B1}"/>
            </c:ext>
          </c:extLst>
        </c:ser>
        <c:dLbls>
          <c:dLblPos val="inEnd"/>
          <c:showLegendKey val="0"/>
          <c:showVal val="0"/>
          <c:showCatName val="1"/>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Project.xlsx]Sheet3!PivotTable6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Sum of Total revenue(High)</c:v>
                </c:pt>
              </c:strCache>
            </c:strRef>
          </c:tx>
          <c:spPr>
            <a:solidFill>
              <a:schemeClr val="accent1"/>
            </a:solidFill>
            <a:ln>
              <a:noFill/>
            </a:ln>
            <a:effectLst/>
          </c:spPr>
          <c:invertIfNegative val="0"/>
          <c:cat>
            <c:strRef>
              <c:f>Sheet3!$A$4:$A$9</c:f>
              <c:strCache>
                <c:ptCount val="5"/>
                <c:pt idx="0">
                  <c:v>Central</c:v>
                </c:pt>
                <c:pt idx="1">
                  <c:v>East</c:v>
                </c:pt>
                <c:pt idx="2">
                  <c:v>North</c:v>
                </c:pt>
                <c:pt idx="3">
                  <c:v>South</c:v>
                </c:pt>
                <c:pt idx="4">
                  <c:v>West</c:v>
                </c:pt>
              </c:strCache>
            </c:strRef>
          </c:cat>
          <c:val>
            <c:numRef>
              <c:f>Sheet3!$B$4:$B$9</c:f>
              <c:numCache>
                <c:formatCode>General</c:formatCode>
                <c:ptCount val="5"/>
                <c:pt idx="0">
                  <c:v>6840798.1560000032</c:v>
                </c:pt>
                <c:pt idx="1">
                  <c:v>7019220.6120000007</c:v>
                </c:pt>
                <c:pt idx="2">
                  <c:v>8791885.9800000004</c:v>
                </c:pt>
                <c:pt idx="3">
                  <c:v>5758505.3879999984</c:v>
                </c:pt>
                <c:pt idx="4">
                  <c:v>6547071.1200000001</c:v>
                </c:pt>
              </c:numCache>
            </c:numRef>
          </c:val>
          <c:extLst>
            <c:ext xmlns:c16="http://schemas.microsoft.com/office/drawing/2014/chart" uri="{C3380CC4-5D6E-409C-BE32-E72D297353CC}">
              <c16:uniqueId val="{00000000-084B-4C9D-B40D-49C2CE90715D}"/>
            </c:ext>
          </c:extLst>
        </c:ser>
        <c:ser>
          <c:idx val="1"/>
          <c:order val="1"/>
          <c:tx>
            <c:strRef>
              <c:f>Sheet3!$C$3</c:f>
              <c:strCache>
                <c:ptCount val="1"/>
                <c:pt idx="0">
                  <c:v>Sum of Discount Sale</c:v>
                </c:pt>
              </c:strCache>
            </c:strRef>
          </c:tx>
          <c:spPr>
            <a:solidFill>
              <a:schemeClr val="accent2"/>
            </a:solidFill>
            <a:ln>
              <a:noFill/>
            </a:ln>
            <a:effectLst/>
          </c:spPr>
          <c:invertIfNegative val="0"/>
          <c:cat>
            <c:strRef>
              <c:f>Sheet3!$A$4:$A$9</c:f>
              <c:strCache>
                <c:ptCount val="5"/>
                <c:pt idx="0">
                  <c:v>Central</c:v>
                </c:pt>
                <c:pt idx="1">
                  <c:v>East</c:v>
                </c:pt>
                <c:pt idx="2">
                  <c:v>North</c:v>
                </c:pt>
                <c:pt idx="3">
                  <c:v>South</c:v>
                </c:pt>
                <c:pt idx="4">
                  <c:v>West</c:v>
                </c:pt>
              </c:strCache>
            </c:strRef>
          </c:cat>
          <c:val>
            <c:numRef>
              <c:f>Sheet3!$C$4:$C$9</c:f>
              <c:numCache>
                <c:formatCode>General</c:formatCode>
                <c:ptCount val="5"/>
                <c:pt idx="0">
                  <c:v>5130598.6170000015</c:v>
                </c:pt>
                <c:pt idx="1">
                  <c:v>5264415.4589999998</c:v>
                </c:pt>
                <c:pt idx="2">
                  <c:v>6593914.4850000031</c:v>
                </c:pt>
                <c:pt idx="3">
                  <c:v>4318879.0410000011</c:v>
                </c:pt>
                <c:pt idx="4">
                  <c:v>4910303.3400000008</c:v>
                </c:pt>
              </c:numCache>
            </c:numRef>
          </c:val>
          <c:extLst>
            <c:ext xmlns:c16="http://schemas.microsoft.com/office/drawing/2014/chart" uri="{C3380CC4-5D6E-409C-BE32-E72D297353CC}">
              <c16:uniqueId val="{00000001-084B-4C9D-B40D-49C2CE90715D}"/>
            </c:ext>
          </c:extLst>
        </c:ser>
        <c:ser>
          <c:idx val="2"/>
          <c:order val="2"/>
          <c:tx>
            <c:strRef>
              <c:f>Sheet3!$D$3</c:f>
              <c:strCache>
                <c:ptCount val="1"/>
                <c:pt idx="0">
                  <c:v>Sum of Festival sale</c:v>
                </c:pt>
              </c:strCache>
            </c:strRef>
          </c:tx>
          <c:spPr>
            <a:solidFill>
              <a:schemeClr val="accent3"/>
            </a:solidFill>
            <a:ln>
              <a:noFill/>
            </a:ln>
            <a:effectLst/>
          </c:spPr>
          <c:invertIfNegative val="0"/>
          <c:cat>
            <c:strRef>
              <c:f>Sheet3!$A$4:$A$9</c:f>
              <c:strCache>
                <c:ptCount val="5"/>
                <c:pt idx="0">
                  <c:v>Central</c:v>
                </c:pt>
                <c:pt idx="1">
                  <c:v>East</c:v>
                </c:pt>
                <c:pt idx="2">
                  <c:v>North</c:v>
                </c:pt>
                <c:pt idx="3">
                  <c:v>South</c:v>
                </c:pt>
                <c:pt idx="4">
                  <c:v>West</c:v>
                </c:pt>
              </c:strCache>
            </c:strRef>
          </c:cat>
          <c:val>
            <c:numRef>
              <c:f>Sheet3!$D$4:$D$9</c:f>
              <c:numCache>
                <c:formatCode>General</c:formatCode>
                <c:ptCount val="5"/>
                <c:pt idx="0">
                  <c:v>6227976.6545250025</c:v>
                </c:pt>
                <c:pt idx="1">
                  <c:v>6390415.4321750039</c:v>
                </c:pt>
                <c:pt idx="2">
                  <c:v>8004279.5276250057</c:v>
                </c:pt>
                <c:pt idx="3">
                  <c:v>5242639.280325002</c:v>
                </c:pt>
                <c:pt idx="4">
                  <c:v>5960562.6655000048</c:v>
                </c:pt>
              </c:numCache>
            </c:numRef>
          </c:val>
          <c:extLst>
            <c:ext xmlns:c16="http://schemas.microsoft.com/office/drawing/2014/chart" uri="{C3380CC4-5D6E-409C-BE32-E72D297353CC}">
              <c16:uniqueId val="{00000002-084B-4C9D-B40D-49C2CE90715D}"/>
            </c:ext>
          </c:extLst>
        </c:ser>
        <c:dLbls>
          <c:showLegendKey val="0"/>
          <c:showVal val="0"/>
          <c:showCatName val="0"/>
          <c:showSerName val="0"/>
          <c:showPercent val="0"/>
          <c:showBubbleSize val="0"/>
        </c:dLbls>
        <c:gapWidth val="219"/>
        <c:overlap val="-27"/>
        <c:axId val="98214671"/>
        <c:axId val="1816504447"/>
      </c:barChart>
      <c:catAx>
        <c:axId val="98214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6504447"/>
        <c:crosses val="autoZero"/>
        <c:auto val="1"/>
        <c:lblAlgn val="ctr"/>
        <c:lblOffset val="100"/>
        <c:noMultiLvlLbl val="0"/>
      </c:catAx>
      <c:valAx>
        <c:axId val="1816504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14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Project.xlsx]Sheet4!PivotTable8</c:name>
    <c:fmtId val="2"/>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doughnutChart>
        <c:varyColors val="1"/>
        <c:ser>
          <c:idx val="0"/>
          <c:order val="0"/>
          <c:tx>
            <c:strRef>
              <c:f>Sheet4!$B$3</c:f>
              <c:strCache>
                <c:ptCount val="1"/>
                <c:pt idx="0">
                  <c:v>Sum of Festival sale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98C-4E0B-9889-DD3A4D2230A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98C-4E0B-9889-DD3A4D2230A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98C-4E0B-9889-DD3A4D2230A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98C-4E0B-9889-DD3A4D2230AD}"/>
              </c:ext>
            </c:extLst>
          </c:dPt>
          <c:cat>
            <c:strRef>
              <c:f>Sheet4!$A$4:$A$8</c:f>
              <c:strCache>
                <c:ptCount val="4"/>
                <c:pt idx="0">
                  <c:v>Cash</c:v>
                </c:pt>
                <c:pt idx="1">
                  <c:v>Credit Card</c:v>
                </c:pt>
                <c:pt idx="2">
                  <c:v>Debit Card</c:v>
                </c:pt>
                <c:pt idx="3">
                  <c:v>PayPal</c:v>
                </c:pt>
              </c:strCache>
            </c:strRef>
          </c:cat>
          <c:val>
            <c:numRef>
              <c:f>Sheet4!$B$4:$B$8</c:f>
              <c:numCache>
                <c:formatCode>General</c:formatCode>
                <c:ptCount val="4"/>
                <c:pt idx="0">
                  <c:v>10150798.673250007</c:v>
                </c:pt>
                <c:pt idx="1">
                  <c:v>9653190.760875009</c:v>
                </c:pt>
                <c:pt idx="2">
                  <c:v>6056820.2294250028</c:v>
                </c:pt>
                <c:pt idx="3">
                  <c:v>5965063.8966000034</c:v>
                </c:pt>
              </c:numCache>
            </c:numRef>
          </c:val>
          <c:extLst>
            <c:ext xmlns:c16="http://schemas.microsoft.com/office/drawing/2014/chart" uri="{C3380CC4-5D6E-409C-BE32-E72D297353CC}">
              <c16:uniqueId val="{00000000-415C-4ECC-B51F-3B584CE99BA7}"/>
            </c:ext>
          </c:extLst>
        </c:ser>
        <c:ser>
          <c:idx val="1"/>
          <c:order val="1"/>
          <c:tx>
            <c:strRef>
              <c:f>Sheet4!$C$3</c:f>
              <c:strCache>
                <c:ptCount val="1"/>
                <c:pt idx="0">
                  <c:v>Sum of Total_Amount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298C-4E0B-9889-DD3A4D2230A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298C-4E0B-9889-DD3A4D2230A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D-298C-4E0B-9889-DD3A4D2230A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F-298C-4E0B-9889-DD3A4D2230AD}"/>
              </c:ext>
            </c:extLst>
          </c:dPt>
          <c:cat>
            <c:strRef>
              <c:f>Sheet4!$A$4:$A$8</c:f>
              <c:strCache>
                <c:ptCount val="4"/>
                <c:pt idx="0">
                  <c:v>Cash</c:v>
                </c:pt>
                <c:pt idx="1">
                  <c:v>Credit Card</c:v>
                </c:pt>
                <c:pt idx="2">
                  <c:v>Debit Card</c:v>
                </c:pt>
                <c:pt idx="3">
                  <c:v>PayPal</c:v>
                </c:pt>
              </c:strCache>
            </c:strRef>
          </c:cat>
          <c:val>
            <c:numRef>
              <c:f>Sheet4!$C$4:$C$8</c:f>
              <c:numCache>
                <c:formatCode>General</c:formatCode>
                <c:ptCount val="4"/>
                <c:pt idx="0">
                  <c:v>57427.790000000023</c:v>
                </c:pt>
                <c:pt idx="1">
                  <c:v>61447.960000000014</c:v>
                </c:pt>
                <c:pt idx="2">
                  <c:v>52118.310000000005</c:v>
                </c:pt>
                <c:pt idx="3">
                  <c:v>58198.409999999996</c:v>
                </c:pt>
              </c:numCache>
            </c:numRef>
          </c:val>
          <c:extLst>
            <c:ext xmlns:c16="http://schemas.microsoft.com/office/drawing/2014/chart" uri="{C3380CC4-5D6E-409C-BE32-E72D297353CC}">
              <c16:uniqueId val="{00000001-415C-4ECC-B51F-3B584CE99BA7}"/>
            </c:ext>
          </c:extLst>
        </c:ser>
        <c:ser>
          <c:idx val="2"/>
          <c:order val="2"/>
          <c:tx>
            <c:strRef>
              <c:f>Sheet4!$D$3</c:f>
              <c:strCache>
                <c:ptCount val="1"/>
                <c:pt idx="0">
                  <c:v>Sum of Unit_Price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1-298C-4E0B-9889-DD3A4D2230A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3-298C-4E0B-9889-DD3A4D2230A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5-298C-4E0B-9889-DD3A4D2230A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7-298C-4E0B-9889-DD3A4D2230AD}"/>
              </c:ext>
            </c:extLst>
          </c:dPt>
          <c:cat>
            <c:strRef>
              <c:f>Sheet4!$A$4:$A$8</c:f>
              <c:strCache>
                <c:ptCount val="4"/>
                <c:pt idx="0">
                  <c:v>Cash</c:v>
                </c:pt>
                <c:pt idx="1">
                  <c:v>Credit Card</c:v>
                </c:pt>
                <c:pt idx="2">
                  <c:v>Debit Card</c:v>
                </c:pt>
                <c:pt idx="3">
                  <c:v>PayPal</c:v>
                </c:pt>
              </c:strCache>
            </c:strRef>
          </c:cat>
          <c:val>
            <c:numRef>
              <c:f>Sheet4!$D$4:$D$8</c:f>
              <c:numCache>
                <c:formatCode>General</c:formatCode>
                <c:ptCount val="4"/>
                <c:pt idx="0">
                  <c:v>19929.240000000009</c:v>
                </c:pt>
                <c:pt idx="1">
                  <c:v>20029.320000000018</c:v>
                </c:pt>
                <c:pt idx="2">
                  <c:v>15349.459999999992</c:v>
                </c:pt>
                <c:pt idx="3">
                  <c:v>18859.48</c:v>
                </c:pt>
              </c:numCache>
            </c:numRef>
          </c:val>
          <c:extLst>
            <c:ext xmlns:c16="http://schemas.microsoft.com/office/drawing/2014/chart" uri="{C3380CC4-5D6E-409C-BE32-E72D297353CC}">
              <c16:uniqueId val="{00000002-415C-4ECC-B51F-3B584CE99BA7}"/>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Project.xlsx]Sheet5!PivotTable10</c:name>
    <c:fmtId val="2"/>
  </c:pivotSource>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Sheet5!$B$3</c:f>
              <c:strCache>
                <c:ptCount val="1"/>
                <c:pt idx="0">
                  <c:v>Sum of Goal seek</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cat>
            <c:strRef>
              <c:f>Sheet5!$A$4:$A$7</c:f>
              <c:strCache>
                <c:ptCount val="3"/>
                <c:pt idx="0">
                  <c:v>Appliances</c:v>
                </c:pt>
                <c:pt idx="1">
                  <c:v>Electronics</c:v>
                </c:pt>
                <c:pt idx="2">
                  <c:v>Furniture</c:v>
                </c:pt>
              </c:strCache>
            </c:strRef>
          </c:cat>
          <c:val>
            <c:numRef>
              <c:f>Sheet5!$B$4:$B$7</c:f>
              <c:numCache>
                <c:formatCode>General</c:formatCode>
                <c:ptCount val="3"/>
                <c:pt idx="0">
                  <c:v>5538169.9200000074</c:v>
                </c:pt>
                <c:pt idx="1">
                  <c:v>15281364.260000005</c:v>
                </c:pt>
                <c:pt idx="2">
                  <c:v>8311700.2000000067</c:v>
                </c:pt>
              </c:numCache>
            </c:numRef>
          </c:val>
          <c:extLst>
            <c:ext xmlns:c16="http://schemas.microsoft.com/office/drawing/2014/chart" uri="{C3380CC4-5D6E-409C-BE32-E72D297353CC}">
              <c16:uniqueId val="{00000000-3D81-4D40-90BC-D4DDBBA83B8C}"/>
            </c:ext>
          </c:extLst>
        </c:ser>
        <c:ser>
          <c:idx val="1"/>
          <c:order val="1"/>
          <c:tx>
            <c:strRef>
              <c:f>Sheet5!$C$3</c:f>
              <c:strCache>
                <c:ptCount val="1"/>
                <c:pt idx="0">
                  <c:v>Sum of High</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c:spPr>
          <c:invertIfNegative val="0"/>
          <c:cat>
            <c:strRef>
              <c:f>Sheet5!$A$4:$A$7</c:f>
              <c:strCache>
                <c:ptCount val="3"/>
                <c:pt idx="0">
                  <c:v>Appliances</c:v>
                </c:pt>
                <c:pt idx="1">
                  <c:v>Electronics</c:v>
                </c:pt>
                <c:pt idx="2">
                  <c:v>Furniture</c:v>
                </c:pt>
              </c:strCache>
            </c:strRef>
          </c:cat>
          <c:val>
            <c:numRef>
              <c:f>Sheet5!$C$4:$C$7</c:f>
              <c:numCache>
                <c:formatCode>General</c:formatCode>
                <c:ptCount val="3"/>
                <c:pt idx="0">
                  <c:v>151.20000000000002</c:v>
                </c:pt>
                <c:pt idx="1">
                  <c:v>473.99999999999994</c:v>
                </c:pt>
                <c:pt idx="2">
                  <c:v>278.40000000000003</c:v>
                </c:pt>
              </c:numCache>
            </c:numRef>
          </c:val>
          <c:extLst>
            <c:ext xmlns:c16="http://schemas.microsoft.com/office/drawing/2014/chart" uri="{C3380CC4-5D6E-409C-BE32-E72D297353CC}">
              <c16:uniqueId val="{00000001-3D81-4D40-90BC-D4DDBBA83B8C}"/>
            </c:ext>
          </c:extLst>
        </c:ser>
        <c:ser>
          <c:idx val="2"/>
          <c:order val="2"/>
          <c:tx>
            <c:strRef>
              <c:f>Sheet5!$D$3</c:f>
              <c:strCache>
                <c:ptCount val="1"/>
                <c:pt idx="0">
                  <c:v>Sum of New total</c:v>
                </c:pt>
              </c:strCache>
            </c:strRef>
          </c:tx>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Sheet5!$A$4:$A$7</c:f>
              <c:strCache>
                <c:ptCount val="3"/>
                <c:pt idx="0">
                  <c:v>Appliances</c:v>
                </c:pt>
                <c:pt idx="1">
                  <c:v>Electronics</c:v>
                </c:pt>
                <c:pt idx="2">
                  <c:v>Furniture</c:v>
                </c:pt>
              </c:strCache>
            </c:strRef>
          </c:cat>
          <c:val>
            <c:numRef>
              <c:f>Sheet5!$D$4:$D$7</c:f>
              <c:numCache>
                <c:formatCode>General</c:formatCode>
                <c:ptCount val="3"/>
                <c:pt idx="0">
                  <c:v>10006.487999999999</c:v>
                </c:pt>
                <c:pt idx="1">
                  <c:v>206107.26000000004</c:v>
                </c:pt>
                <c:pt idx="2">
                  <c:v>58917.216000000015</c:v>
                </c:pt>
              </c:numCache>
            </c:numRef>
          </c:val>
          <c:extLst>
            <c:ext xmlns:c16="http://schemas.microsoft.com/office/drawing/2014/chart" uri="{C3380CC4-5D6E-409C-BE32-E72D297353CC}">
              <c16:uniqueId val="{00000002-3D81-4D40-90BC-D4DDBBA83B8C}"/>
            </c:ext>
          </c:extLst>
        </c:ser>
        <c:dLbls>
          <c:showLegendKey val="0"/>
          <c:showVal val="0"/>
          <c:showCatName val="0"/>
          <c:showSerName val="0"/>
          <c:showPercent val="0"/>
          <c:showBubbleSize val="0"/>
        </c:dLbls>
        <c:gapWidth val="75"/>
        <c:overlap val="40"/>
        <c:axId val="656441520"/>
        <c:axId val="656454480"/>
      </c:barChart>
      <c:catAx>
        <c:axId val="656441520"/>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454480"/>
        <c:crosses val="autoZero"/>
        <c:auto val="1"/>
        <c:lblAlgn val="ctr"/>
        <c:lblOffset val="100"/>
        <c:noMultiLvlLbl val="0"/>
      </c:catAx>
      <c:valAx>
        <c:axId val="656454480"/>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441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4.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3.png"/><Relationship Id="rId5" Type="http://schemas.openxmlformats.org/officeDocument/2006/relationships/image" Target="../media/image2.svg"/><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1</xdr:col>
      <xdr:colOff>205740</xdr:colOff>
      <xdr:row>8</xdr:row>
      <xdr:rowOff>83820</xdr:rowOff>
    </xdr:from>
    <xdr:to>
      <xdr:col>7</xdr:col>
      <xdr:colOff>182880</xdr:colOff>
      <xdr:row>22</xdr:row>
      <xdr:rowOff>152400</xdr:rowOff>
    </xdr:to>
    <xdr:graphicFrame macro="">
      <xdr:nvGraphicFramePr>
        <xdr:cNvPr id="2" name="Chart 1">
          <a:extLst>
            <a:ext uri="{FF2B5EF4-FFF2-40B4-BE49-F238E27FC236}">
              <a16:creationId xmlns:a16="http://schemas.microsoft.com/office/drawing/2014/main" id="{1BD0E560-AD8F-4169-BE9B-B5AF8ECE8E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312420</xdr:colOff>
      <xdr:row>8</xdr:row>
      <xdr:rowOff>106680</xdr:rowOff>
    </xdr:from>
    <xdr:to>
      <xdr:col>14</xdr:col>
      <xdr:colOff>502920</xdr:colOff>
      <xdr:row>22</xdr:row>
      <xdr:rowOff>129540</xdr:rowOff>
    </xdr:to>
    <xdr:graphicFrame macro="">
      <xdr:nvGraphicFramePr>
        <xdr:cNvPr id="4" name="Chart 3">
          <a:extLst>
            <a:ext uri="{FF2B5EF4-FFF2-40B4-BE49-F238E27FC236}">
              <a16:creationId xmlns:a16="http://schemas.microsoft.com/office/drawing/2014/main" id="{A03E3C9E-6088-44B9-AFAA-E2DF1332F0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22860</xdr:colOff>
      <xdr:row>23</xdr:row>
      <xdr:rowOff>99060</xdr:rowOff>
    </xdr:from>
    <xdr:to>
      <xdr:col>18</xdr:col>
      <xdr:colOff>1181100</xdr:colOff>
      <xdr:row>38</xdr:row>
      <xdr:rowOff>99060</xdr:rowOff>
    </xdr:to>
    <xdr:graphicFrame macro="">
      <xdr:nvGraphicFramePr>
        <xdr:cNvPr id="5" name="Chart 4">
          <a:extLst>
            <a:ext uri="{FF2B5EF4-FFF2-40B4-BE49-F238E27FC236}">
              <a16:creationId xmlns:a16="http://schemas.microsoft.com/office/drawing/2014/main" id="{2D41781F-971D-4E2C-AA87-8DF3667EEC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30480</xdr:colOff>
      <xdr:row>23</xdr:row>
      <xdr:rowOff>60960</xdr:rowOff>
    </xdr:from>
    <xdr:to>
      <xdr:col>14</xdr:col>
      <xdr:colOff>533400</xdr:colOff>
      <xdr:row>38</xdr:row>
      <xdr:rowOff>106680</xdr:rowOff>
    </xdr:to>
    <xdr:sp macro="" textlink="">
      <xdr:nvSpPr>
        <xdr:cNvPr id="6" name="Rectangle 5">
          <a:extLst>
            <a:ext uri="{FF2B5EF4-FFF2-40B4-BE49-F238E27FC236}">
              <a16:creationId xmlns:a16="http://schemas.microsoft.com/office/drawing/2014/main" id="{FCB94C0C-E560-C4D7-026F-1002787EE1C2}"/>
            </a:ext>
          </a:extLst>
        </xdr:cNvPr>
        <xdr:cNvSpPr/>
      </xdr:nvSpPr>
      <xdr:spPr>
        <a:xfrm>
          <a:off x="4297680" y="4267200"/>
          <a:ext cx="4770120" cy="2788920"/>
        </a:xfrm>
        <a:prstGeom prst="rect">
          <a:avLst/>
        </a:prstGeom>
      </xdr:spPr>
      <xdr:style>
        <a:lnRef idx="3">
          <a:schemeClr val="lt1"/>
        </a:lnRef>
        <a:fillRef idx="1">
          <a:schemeClr val="dk1"/>
        </a:fillRef>
        <a:effectRef idx="1">
          <a:schemeClr val="dk1"/>
        </a:effectRef>
        <a:fontRef idx="minor">
          <a:schemeClr val="lt1"/>
        </a:fontRef>
      </xdr:style>
      <xdr:txBody>
        <a:bodyPr vertOverflow="clip" horzOverflow="clip" rtlCol="0" anchor="t"/>
        <a:lstStyle/>
        <a:p>
          <a:pPr algn="ctr"/>
          <a:r>
            <a:rPr lang="en-IN" sz="2400" b="1" i="0" u="none" strike="noStrike">
              <a:solidFill>
                <a:schemeClr val="lt1"/>
              </a:solidFill>
              <a:effectLst/>
              <a:latin typeface="+mn-lt"/>
              <a:ea typeface="+mn-ea"/>
              <a:cs typeface="+mn-cs"/>
            </a:rPr>
            <a:t>Total Goal seek  29131234.38</a:t>
          </a:r>
          <a:r>
            <a:rPr lang="en-IN" sz="2400">
              <a:effectLst/>
            </a:rPr>
            <a:t> </a:t>
          </a:r>
        </a:p>
        <a:p>
          <a:pPr algn="l"/>
          <a:br>
            <a:rPr lang="en-IN" sz="2400" b="1" i="0" u="none" strike="noStrike">
              <a:solidFill>
                <a:schemeClr val="lt1"/>
              </a:solidFill>
              <a:effectLst/>
              <a:latin typeface="+mn-lt"/>
              <a:ea typeface="+mn-ea"/>
              <a:cs typeface="+mn-cs"/>
            </a:rPr>
          </a:br>
          <a:r>
            <a:rPr lang="en-IN" sz="2400" b="1" i="0" u="none" strike="noStrike">
              <a:solidFill>
                <a:schemeClr val="lt1"/>
              </a:solidFill>
              <a:effectLst/>
              <a:latin typeface="Constantia" panose="02030602050306030303" pitchFamily="18" charset="0"/>
              <a:ea typeface="+mn-ea"/>
              <a:cs typeface="+mn-cs"/>
            </a:rPr>
            <a:t>Appliances</a:t>
          </a:r>
          <a:r>
            <a:rPr lang="en-IN" sz="2400">
              <a:effectLst/>
              <a:latin typeface="Constantia" panose="02030602050306030303" pitchFamily="18" charset="0"/>
            </a:rPr>
            <a:t>   </a:t>
          </a:r>
          <a:r>
            <a:rPr lang="en-IN" sz="2400" b="1" i="0" u="none" strike="noStrike">
              <a:solidFill>
                <a:schemeClr val="lt1"/>
              </a:solidFill>
              <a:effectLst/>
              <a:latin typeface="+mn-lt"/>
              <a:ea typeface="+mn-ea"/>
              <a:cs typeface="+mn-cs"/>
            </a:rPr>
            <a:t>5538169.92</a:t>
          </a:r>
          <a:r>
            <a:rPr lang="en-IN" sz="2400">
              <a:effectLst/>
            </a:rPr>
            <a:t> </a:t>
          </a:r>
          <a:br>
            <a:rPr lang="en-IN" sz="2400">
              <a:effectLst/>
              <a:latin typeface="Constantia" panose="02030602050306030303" pitchFamily="18" charset="0"/>
            </a:rPr>
          </a:br>
          <a:r>
            <a:rPr lang="en-IN" sz="2400" b="1" i="0" u="none" strike="noStrike">
              <a:solidFill>
                <a:schemeClr val="lt1"/>
              </a:solidFill>
              <a:effectLst/>
              <a:latin typeface="Constantia" panose="02030602050306030303" pitchFamily="18" charset="0"/>
              <a:ea typeface="+mn-ea"/>
              <a:cs typeface="+mn-cs"/>
            </a:rPr>
            <a:t>Electronics</a:t>
          </a:r>
          <a:r>
            <a:rPr lang="en-IN" sz="2400">
              <a:effectLst/>
              <a:latin typeface="Constantia" panose="02030602050306030303" pitchFamily="18" charset="0"/>
            </a:rPr>
            <a:t>   </a:t>
          </a:r>
          <a:r>
            <a:rPr lang="en-IN" sz="2400" b="1" i="0" u="none" strike="noStrike">
              <a:solidFill>
                <a:schemeClr val="lt1"/>
              </a:solidFill>
              <a:effectLst/>
              <a:latin typeface="+mn-lt"/>
              <a:ea typeface="+mn-ea"/>
              <a:cs typeface="+mn-cs"/>
            </a:rPr>
            <a:t>15281364.26</a:t>
          </a:r>
          <a:r>
            <a:rPr lang="en-IN" sz="2400">
              <a:effectLst/>
            </a:rPr>
            <a:t> </a:t>
          </a:r>
          <a:br>
            <a:rPr lang="en-IN" sz="2400">
              <a:effectLst/>
              <a:latin typeface="Constantia" panose="02030602050306030303" pitchFamily="18" charset="0"/>
            </a:rPr>
          </a:br>
          <a:r>
            <a:rPr lang="en-IN" sz="2400" b="1" i="0" u="none" strike="noStrike">
              <a:solidFill>
                <a:schemeClr val="lt1"/>
              </a:solidFill>
              <a:effectLst/>
              <a:latin typeface="Constantia" panose="02030602050306030303" pitchFamily="18" charset="0"/>
              <a:ea typeface="+mn-ea"/>
              <a:cs typeface="+mn-cs"/>
            </a:rPr>
            <a:t>Furniture</a:t>
          </a:r>
          <a:r>
            <a:rPr lang="en-IN" sz="2400">
              <a:effectLst/>
              <a:latin typeface="Constantia" panose="02030602050306030303" pitchFamily="18" charset="0"/>
            </a:rPr>
            <a:t>      </a:t>
          </a:r>
          <a:r>
            <a:rPr lang="en-IN" sz="2400" b="1" i="0" u="none" strike="noStrike">
              <a:solidFill>
                <a:schemeClr val="lt1"/>
              </a:solidFill>
              <a:effectLst/>
              <a:latin typeface="+mn-lt"/>
              <a:ea typeface="+mn-ea"/>
              <a:cs typeface="+mn-cs"/>
            </a:rPr>
            <a:t>8311700.2</a:t>
          </a:r>
          <a:r>
            <a:rPr lang="en-IN" sz="2400">
              <a:effectLst/>
            </a:rPr>
            <a:t> </a:t>
          </a:r>
          <a:endParaRPr lang="en-IN" sz="2400">
            <a:latin typeface="Constantia" panose="02030602050306030303" pitchFamily="18" charset="0"/>
          </a:endParaRPr>
        </a:p>
      </xdr:txBody>
    </xdr:sp>
    <xdr:clientData/>
  </xdr:twoCellAnchor>
  <xdr:twoCellAnchor editAs="oneCell">
    <xdr:from>
      <xdr:col>14</xdr:col>
      <xdr:colOff>0</xdr:colOff>
      <xdr:row>23</xdr:row>
      <xdr:rowOff>106680</xdr:rowOff>
    </xdr:from>
    <xdr:to>
      <xdr:col>14</xdr:col>
      <xdr:colOff>335280</xdr:colOff>
      <xdr:row>25</xdr:row>
      <xdr:rowOff>76200</xdr:rowOff>
    </xdr:to>
    <xdr:pic>
      <xdr:nvPicPr>
        <xdr:cNvPr id="8" name="Graphic 7" descr="Back with solid fill">
          <a:extLst>
            <a:ext uri="{FF2B5EF4-FFF2-40B4-BE49-F238E27FC236}">
              <a16:creationId xmlns:a16="http://schemas.microsoft.com/office/drawing/2014/main" id="{A9EEF90A-3A2C-85CA-FDEC-291F2CF7C36B}"/>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rot="5400000">
          <a:off x="8534400" y="4312920"/>
          <a:ext cx="335280" cy="335280"/>
        </a:xfrm>
        <a:prstGeom prst="rect">
          <a:avLst/>
        </a:prstGeom>
      </xdr:spPr>
    </xdr:pic>
    <xdr:clientData/>
  </xdr:twoCellAnchor>
  <xdr:twoCellAnchor editAs="oneCell">
    <xdr:from>
      <xdr:col>12</xdr:col>
      <xdr:colOff>274320</xdr:colOff>
      <xdr:row>31</xdr:row>
      <xdr:rowOff>152400</xdr:rowOff>
    </xdr:from>
    <xdr:to>
      <xdr:col>13</xdr:col>
      <xdr:colOff>0</xdr:colOff>
      <xdr:row>33</xdr:row>
      <xdr:rowOff>121920</xdr:rowOff>
    </xdr:to>
    <xdr:pic>
      <xdr:nvPicPr>
        <xdr:cNvPr id="10" name="Graphic 9" descr="Back with solid fill">
          <a:extLst>
            <a:ext uri="{FF2B5EF4-FFF2-40B4-BE49-F238E27FC236}">
              <a16:creationId xmlns:a16="http://schemas.microsoft.com/office/drawing/2014/main" id="{31A0EE85-CAA8-50E0-7E2F-D22733BBC0B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rot="16200000">
          <a:off x="7589520" y="5821680"/>
          <a:ext cx="335280" cy="335280"/>
        </a:xfrm>
        <a:prstGeom prst="rect">
          <a:avLst/>
        </a:prstGeom>
      </xdr:spPr>
    </xdr:pic>
    <xdr:clientData/>
  </xdr:twoCellAnchor>
  <xdr:twoCellAnchor editAs="oneCell">
    <xdr:from>
      <xdr:col>12</xdr:col>
      <xdr:colOff>358140</xdr:colOff>
      <xdr:row>27</xdr:row>
      <xdr:rowOff>83820</xdr:rowOff>
    </xdr:from>
    <xdr:to>
      <xdr:col>13</xdr:col>
      <xdr:colOff>83820</xdr:colOff>
      <xdr:row>29</xdr:row>
      <xdr:rowOff>53340</xdr:rowOff>
    </xdr:to>
    <xdr:pic>
      <xdr:nvPicPr>
        <xdr:cNvPr id="11" name="Graphic 10" descr="Back with solid fill">
          <a:extLst>
            <a:ext uri="{FF2B5EF4-FFF2-40B4-BE49-F238E27FC236}">
              <a16:creationId xmlns:a16="http://schemas.microsoft.com/office/drawing/2014/main" id="{440D4B66-669F-4444-D655-E0D34F29817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rot="16200000">
          <a:off x="7673340" y="5021580"/>
          <a:ext cx="335280" cy="335280"/>
        </a:xfrm>
        <a:prstGeom prst="rect">
          <a:avLst/>
        </a:prstGeom>
      </xdr:spPr>
    </xdr:pic>
    <xdr:clientData/>
  </xdr:twoCellAnchor>
  <xdr:twoCellAnchor>
    <xdr:from>
      <xdr:col>12</xdr:col>
      <xdr:colOff>594360</xdr:colOff>
      <xdr:row>29</xdr:row>
      <xdr:rowOff>60960</xdr:rowOff>
    </xdr:from>
    <xdr:to>
      <xdr:col>13</xdr:col>
      <xdr:colOff>487680</xdr:colOff>
      <xdr:row>32</xdr:row>
      <xdr:rowOff>22860</xdr:rowOff>
    </xdr:to>
    <xdr:sp macro="" textlink="">
      <xdr:nvSpPr>
        <xdr:cNvPr id="12" name="Minus Sign 11">
          <a:extLst>
            <a:ext uri="{FF2B5EF4-FFF2-40B4-BE49-F238E27FC236}">
              <a16:creationId xmlns:a16="http://schemas.microsoft.com/office/drawing/2014/main" id="{63ADCA8D-CFBD-0C4D-A749-CFAE7D61F150}"/>
            </a:ext>
          </a:extLst>
        </xdr:cNvPr>
        <xdr:cNvSpPr/>
      </xdr:nvSpPr>
      <xdr:spPr>
        <a:xfrm>
          <a:off x="7909560" y="5364480"/>
          <a:ext cx="502920" cy="510540"/>
        </a:xfrm>
        <a:prstGeom prst="mathMinus">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110067</xdr:colOff>
      <xdr:row>23</xdr:row>
      <xdr:rowOff>42334</xdr:rowOff>
    </xdr:from>
    <xdr:to>
      <xdr:col>6</xdr:col>
      <xdr:colOff>482600</xdr:colOff>
      <xdr:row>38</xdr:row>
      <xdr:rowOff>101600</xdr:rowOff>
    </xdr:to>
    <mc:AlternateContent xmlns:mc="http://schemas.openxmlformats.org/markup-compatibility/2006" xmlns:a14="http://schemas.microsoft.com/office/drawing/2010/main">
      <mc:Choice Requires="a14">
        <xdr:graphicFrame macro="">
          <xdr:nvGraphicFramePr>
            <xdr:cNvPr id="14" name="Months (Date) 1">
              <a:extLst>
                <a:ext uri="{FF2B5EF4-FFF2-40B4-BE49-F238E27FC236}">
                  <a16:creationId xmlns:a16="http://schemas.microsoft.com/office/drawing/2014/main" id="{9145A671-DDF3-447D-9142-88704FAF38E0}"/>
                </a:ext>
              </a:extLst>
            </xdr:cNvPr>
            <xdr:cNvGraphicFramePr/>
          </xdr:nvGraphicFramePr>
          <xdr:xfrm>
            <a:off x="0" y="0"/>
            <a:ext cx="0" cy="0"/>
          </xdr:xfrm>
          <a:graphic>
            <a:graphicData uri="http://schemas.microsoft.com/office/drawing/2010/slicer">
              <sle:slicer xmlns:sle="http://schemas.microsoft.com/office/drawing/2010/slicer" name="Months (Date) 1"/>
            </a:graphicData>
          </a:graphic>
        </xdr:graphicFrame>
      </mc:Choice>
      <mc:Fallback xmlns="">
        <xdr:sp macro="" textlink="">
          <xdr:nvSpPr>
            <xdr:cNvPr id="0" name=""/>
            <xdr:cNvSpPr>
              <a:spLocks noTextEdit="1"/>
            </xdr:cNvSpPr>
          </xdr:nvSpPr>
          <xdr:spPr>
            <a:xfrm>
              <a:off x="719667" y="4326467"/>
              <a:ext cx="3420533" cy="28532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213360</xdr:colOff>
      <xdr:row>2</xdr:row>
      <xdr:rowOff>45720</xdr:rowOff>
    </xdr:from>
    <xdr:to>
      <xdr:col>9</xdr:col>
      <xdr:colOff>518160</xdr:colOff>
      <xdr:row>17</xdr:row>
      <xdr:rowOff>45720</xdr:rowOff>
    </xdr:to>
    <xdr:graphicFrame macro="">
      <xdr:nvGraphicFramePr>
        <xdr:cNvPr id="2" name="Chart 1">
          <a:extLst>
            <a:ext uri="{FF2B5EF4-FFF2-40B4-BE49-F238E27FC236}">
              <a16:creationId xmlns:a16="http://schemas.microsoft.com/office/drawing/2014/main" id="{3BB3AEDB-64E8-A69F-5D17-C90377D4CE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281940</xdr:colOff>
      <xdr:row>10</xdr:row>
      <xdr:rowOff>26670</xdr:rowOff>
    </xdr:from>
    <xdr:to>
      <xdr:col>3</xdr:col>
      <xdr:colOff>1021080</xdr:colOff>
      <xdr:row>25</xdr:row>
      <xdr:rowOff>26670</xdr:rowOff>
    </xdr:to>
    <xdr:graphicFrame macro="">
      <xdr:nvGraphicFramePr>
        <xdr:cNvPr id="2" name="Chart 1">
          <a:extLst>
            <a:ext uri="{FF2B5EF4-FFF2-40B4-BE49-F238E27FC236}">
              <a16:creationId xmlns:a16="http://schemas.microsoft.com/office/drawing/2014/main" id="{23753E66-4162-AAE7-AF8A-FD32D5B219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335280</xdr:colOff>
      <xdr:row>9</xdr:row>
      <xdr:rowOff>87630</xdr:rowOff>
    </xdr:from>
    <xdr:to>
      <xdr:col>4</xdr:col>
      <xdr:colOff>373380</xdr:colOff>
      <xdr:row>24</xdr:row>
      <xdr:rowOff>87630</xdr:rowOff>
    </xdr:to>
    <xdr:graphicFrame macro="">
      <xdr:nvGraphicFramePr>
        <xdr:cNvPr id="3" name="Chart 2">
          <a:extLst>
            <a:ext uri="{FF2B5EF4-FFF2-40B4-BE49-F238E27FC236}">
              <a16:creationId xmlns:a16="http://schemas.microsoft.com/office/drawing/2014/main" id="{A45D770D-1E04-82DD-5490-9398CFD80A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350520</xdr:colOff>
      <xdr:row>2</xdr:row>
      <xdr:rowOff>80010</xdr:rowOff>
    </xdr:from>
    <xdr:to>
      <xdr:col>12</xdr:col>
      <xdr:colOff>45720</xdr:colOff>
      <xdr:row>17</xdr:row>
      <xdr:rowOff>80010</xdr:rowOff>
    </xdr:to>
    <xdr:graphicFrame macro="">
      <xdr:nvGraphicFramePr>
        <xdr:cNvPr id="3" name="Chart 2">
          <a:extLst>
            <a:ext uri="{FF2B5EF4-FFF2-40B4-BE49-F238E27FC236}">
              <a16:creationId xmlns:a16="http://schemas.microsoft.com/office/drawing/2014/main" id="{64D4BAFF-1D76-182C-10CA-20E93B7D58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213360</xdr:colOff>
      <xdr:row>1</xdr:row>
      <xdr:rowOff>175260</xdr:rowOff>
    </xdr:from>
    <xdr:to>
      <xdr:col>15</xdr:col>
      <xdr:colOff>213360</xdr:colOff>
      <xdr:row>21</xdr:row>
      <xdr:rowOff>22860</xdr:rowOff>
    </xdr:to>
    <mc:AlternateContent xmlns:mc="http://schemas.openxmlformats.org/markup-compatibility/2006" xmlns:a14="http://schemas.microsoft.com/office/drawing/2010/main">
      <mc:Choice Requires="a14">
        <xdr:graphicFrame macro="">
          <xdr:nvGraphicFramePr>
            <xdr:cNvPr id="10" name="Months (Date)">
              <a:extLst>
                <a:ext uri="{FF2B5EF4-FFF2-40B4-BE49-F238E27FC236}">
                  <a16:creationId xmlns:a16="http://schemas.microsoft.com/office/drawing/2014/main" id="{B1B7CC37-B4E4-B5DB-845F-91825AD0993A}"/>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8862060" y="358140"/>
              <a:ext cx="1828800" cy="3505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shal Soni" refreshedDate="46084.753611574073" createdVersion="8" refreshedVersion="8" minRefreshableVersion="3" recordCount="250" xr:uid="{CE683381-A26B-49FB-AA90-684FD2C1C94E}">
  <cacheSource type="worksheet">
    <worksheetSource name="Table1"/>
  </cacheSource>
  <cacheFields count="22">
    <cacheField name="Transaction_ID" numFmtId="0">
      <sharedItems/>
    </cacheField>
    <cacheField name="Date" numFmtId="164">
      <sharedItems containsSemiMixedTypes="0" containsNonDate="0" containsDate="1" containsString="0" minDate="2024-04-11T00:00:00" maxDate="2025-04-12T00:00:00"/>
    </cacheField>
    <cacheField name="Customer_ID" numFmtId="0">
      <sharedItems/>
    </cacheField>
    <cacheField name="Customer_Name" numFmtId="0">
      <sharedItems/>
    </cacheField>
    <cacheField name="Product_ID" numFmtId="0">
      <sharedItems/>
    </cacheField>
    <cacheField name="Product_Name" numFmtId="0">
      <sharedItems/>
    </cacheField>
    <cacheField name="Category" numFmtId="0">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59.99" maxValue="899.99"/>
    </cacheField>
    <cacheField name="Payment_Method" numFmtId="0">
      <sharedItems/>
    </cacheField>
    <cacheField name="Region" numFmtId="0">
      <sharedItems count="5">
        <s v="Central"/>
        <s v="South"/>
        <s v="North"/>
        <s v="West"/>
        <s v="East"/>
      </sharedItems>
    </cacheField>
    <cacheField name="Customer_Segment" numFmtId="0">
      <sharedItems/>
    </cacheField>
    <cacheField name="Customer_Since" numFmtId="164">
      <sharedItems containsSemiMixedTypes="0" containsNonDate="0" containsDate="1" containsString="0" minDate="2021-07-18T00:00:00" maxDate="2024-04-12T00:00:00"/>
    </cacheField>
    <cacheField name="Total_Amount" numFmtId="0">
      <sharedItems containsSemiMixedTypes="0" containsString="0" containsNumber="1" minValue="59.99" maxValue="4499.95"/>
    </cacheField>
    <cacheField name="Date_Time" numFmtId="22">
      <sharedItems containsSemiMixedTypes="0" containsNonDate="0" containsDate="1" containsString="0" minDate="2026-03-03T17:55:01" maxDate="2026-03-03T17:55:01"/>
    </cacheField>
    <cacheField name="Timestamp" numFmtId="14">
      <sharedItems containsSemiMixedTypes="0" containsNonDate="0" containsDate="1" containsString="0" minDate="2026-03-03T17:55:01" maxDate="2026-03-03T17:55:01"/>
    </cacheField>
    <cacheField name="Goal seek" numFmtId="0">
      <sharedItems containsSemiMixedTypes="0" containsString="0" containsNumber="1" minValue="269.97000000000003" maxValue="228922.50000000032"/>
    </cacheField>
    <cacheField name="High" numFmtId="0">
      <sharedItems containsSemiMixedTypes="0" containsString="0" containsNumber="1" minValue="1.2" maxValue="6"/>
    </cacheField>
    <cacheField name="New total" numFmtId="0">
      <sharedItems containsSemiMixedTypes="0" containsString="0" containsNumber="1" minValue="71.988" maxValue="5399.9400000000005"/>
    </cacheField>
    <cacheField name="Total revenue(High)" numFmtId="0">
      <sharedItems containsSemiMixedTypes="0" containsString="0" containsNumber="1" minValue="323.96399999999994" maxValue="274707"/>
    </cacheField>
    <cacheField name="Discount Sale" numFmtId="0">
      <sharedItems containsSemiMixedTypes="0" containsString="0" containsNumber="1" minValue="242.97300000000001" maxValue="206030.24999999985"/>
    </cacheField>
    <cacheField name="Festival sale" numFmtId="0">
      <sharedItems containsSemiMixedTypes="0" containsString="0" containsNumber="1" minValue="294.94222499999995" maxValue="250097.8312500003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shal Soni" refreshedDate="46084.753874768518" createdVersion="8" refreshedVersion="8" minRefreshableVersion="3" recordCount="250" xr:uid="{9FEC4566-245C-443B-AA7C-3598360EDA9C}">
  <cacheSource type="worksheet">
    <worksheetSource name="Table1"/>
  </cacheSource>
  <cacheFields count="22">
    <cacheField name="Transaction_ID" numFmtId="0">
      <sharedItems count="250">
        <s v="TRX0155"/>
        <s v="TRX0023"/>
        <s v="TRX0139"/>
        <s v="TRX0043"/>
        <s v="TRX0212"/>
        <s v="TRX0092"/>
        <s v="TRX0193"/>
        <s v="TRX0240"/>
        <s v="TRX0135"/>
        <s v="TRX0185"/>
        <s v="TRX0138"/>
        <s v="TRX0209"/>
        <s v="TRX0246"/>
        <s v="TRX0067"/>
        <s v="TRX0191"/>
        <s v="TRX0230"/>
        <s v="TRX0049"/>
        <s v="TRX0134"/>
        <s v="TRX0122"/>
        <s v="TRX0222"/>
        <s v="TRX0231"/>
        <s v="TRX0239"/>
        <s v="TRX0204"/>
        <s v="TRX0242"/>
        <s v="TRX0071"/>
        <s v="TRX0040"/>
        <s v="TRX0235"/>
        <s v="TRX0004"/>
        <s v="TRX0063"/>
        <s v="TRX0241"/>
        <s v="TRX0029"/>
        <s v="TRX0194"/>
        <s v="TRX0130"/>
        <s v="TRX0041"/>
        <s v="TRX0232"/>
        <s v="TRX0021"/>
        <s v="TRX0245"/>
        <s v="TRX0015"/>
        <s v="TRX0202"/>
        <s v="TRX0042"/>
        <s v="TRX0128"/>
        <s v="TRX0117"/>
        <s v="TRX0208"/>
        <s v="TRX0234"/>
        <s v="TRX0121"/>
        <s v="TRX0220"/>
        <s v="TRX0093"/>
        <s v="TRX0088"/>
        <s v="TRX0115"/>
        <s v="TRX0154"/>
        <s v="TRX0044"/>
        <s v="TRX0061"/>
        <s v="TRX0150"/>
        <s v="TRX0025"/>
        <s v="TRX0078"/>
        <s v="TRX0007"/>
        <s v="TRX0184"/>
        <s v="TRX0104"/>
        <s v="TRX0127"/>
        <s v="TRX0096"/>
        <s v="TRX0192"/>
        <s v="TRX0052"/>
        <s v="TRX0070"/>
        <s v="TRX0086"/>
        <s v="TRX0113"/>
        <s v="TRX0114"/>
        <s v="TRX0136"/>
        <s v="TRX0018"/>
        <s v="TRX0141"/>
        <s v="TRX0097"/>
        <s v="TRX0169"/>
        <s v="TRX0216"/>
        <s v="TRX0131"/>
        <s v="TRX0162"/>
        <s v="TRX0244"/>
        <s v="TRX0006"/>
        <s v="TRX0215"/>
        <s v="TRX0080"/>
        <s v="TRX0228"/>
        <s v="TRX0157"/>
        <s v="TRX0002"/>
        <s v="TRX0217"/>
        <s v="TRX0249"/>
        <s v="TRX0065"/>
        <s v="TRX0176"/>
        <s v="TRX0101"/>
        <s v="TRX0205"/>
        <s v="TRX0020"/>
        <s v="TRX0075"/>
        <s v="TRX0098"/>
        <s v="TRX0247"/>
        <s v="TRX0027"/>
        <s v="TRX0140"/>
        <s v="TRX0132"/>
        <s v="TRX0031"/>
        <s v="TRX0236"/>
        <s v="TRX0001"/>
        <s v="TRX0037"/>
        <s v="TRX0058"/>
        <s v="TRX0170"/>
        <s v="TRX0248"/>
        <s v="TRX0099"/>
        <s v="TRX0074"/>
        <s v="TRX0225"/>
        <s v="TRX0100"/>
        <s v="TRX0142"/>
        <s v="TRX0112"/>
        <s v="TRX0161"/>
        <s v="TRX0108"/>
        <s v="TRX0211"/>
        <s v="TRX0005"/>
        <s v="TRX0195"/>
        <s v="TRX0054"/>
        <s v="TRX0077"/>
        <s v="TRX0111"/>
        <s v="TRX0123"/>
        <s v="TRX0177"/>
        <s v="TRX0119"/>
        <s v="TRX0181"/>
        <s v="TRX0129"/>
        <s v="TRX0174"/>
        <s v="TRX0146"/>
        <s v="TRX0203"/>
        <s v="TRX0055"/>
        <s v="TRX0218"/>
        <s v="TRX0085"/>
        <s v="TRX0158"/>
        <s v="TRX0173"/>
        <s v="TRX0034"/>
        <s v="TRX0189"/>
        <s v="TRX0190"/>
        <s v="TRX0079"/>
        <s v="TRX0095"/>
        <s v="TRX0009"/>
        <s v="TRX0167"/>
        <s v="TRX0153"/>
        <s v="TRX0057"/>
        <s v="TRX0017"/>
        <s v="TRX0060"/>
        <s v="TRX0109"/>
        <s v="TRX0090"/>
        <s v="TRX0035"/>
        <s v="TRX0172"/>
        <s v="TRX0076"/>
        <s v="TRX0210"/>
        <s v="TRX0149"/>
        <s v="TRX0073"/>
        <s v="TRX0033"/>
        <s v="TRX0160"/>
        <s v="TRX0145"/>
        <s v="TRX0148"/>
        <s v="TRX0012"/>
        <s v="TRX0206"/>
        <s v="TRX0045"/>
        <s v="TRX0094"/>
        <s v="TRX0133"/>
        <s v="TRX0201"/>
        <s v="TRX0137"/>
        <s v="TRX0066"/>
        <s v="TRX0180"/>
        <s v="TRX0082"/>
        <s v="TRX0036"/>
        <s v="TRX0198"/>
        <s v="TRX0032"/>
        <s v="TRX0081"/>
        <s v="TRX0224"/>
        <s v="TRX0028"/>
        <s v="TRX0183"/>
        <s v="TRX0163"/>
        <s v="TRX0046"/>
        <s v="TRX0164"/>
        <s v="TRX0008"/>
        <s v="TRX0171"/>
        <s v="TRX0143"/>
        <s v="TRX0165"/>
        <s v="TRX0156"/>
        <s v="TRX0147"/>
        <s v="TRX0207"/>
        <s v="TRX0056"/>
        <s v="TRX0026"/>
        <s v="TRX0237"/>
        <s v="TRX0091"/>
        <s v="TRX0125"/>
        <s v="TRX0223"/>
        <s v="TRX0243"/>
        <s v="TRX0084"/>
        <s v="TRX0238"/>
        <s v="TRX0102"/>
        <s v="TRX0022"/>
        <s v="TRX0087"/>
        <s v="TRX0107"/>
        <s v="TRX0051"/>
        <s v="TRX0106"/>
        <s v="TRX0059"/>
        <s v="TRX0072"/>
        <s v="TRX0110"/>
        <s v="TRX0126"/>
        <s v="TRX0159"/>
        <s v="TRX0030"/>
        <s v="TRX0178"/>
        <s v="TRX0188"/>
        <s v="TRX0010"/>
        <s v="TRX0069"/>
        <s v="TRX0166"/>
        <s v="TRX0219"/>
        <s v="TRX0024"/>
        <s v="TRX0105"/>
        <s v="TRX0011"/>
        <s v="TRX0187"/>
        <s v="TRX0089"/>
        <s v="TRX0196"/>
        <s v="TRX0118"/>
        <s v="TRX0179"/>
        <s v="TRX0168"/>
        <s v="TRX0214"/>
        <s v="TRX0221"/>
        <s v="TRX0083"/>
        <s v="TRX0151"/>
        <s v="TRX0047"/>
        <s v="TRX0200"/>
        <s v="TRX0062"/>
        <s v="TRX0182"/>
        <s v="TRX0229"/>
        <s v="TRX0048"/>
        <s v="TRX0227"/>
        <s v="TRX0226"/>
        <s v="TRX0053"/>
        <s v="TRX0233"/>
        <s v="TRX0175"/>
        <s v="TRX0186"/>
        <s v="TRX0016"/>
        <s v="TRX0199"/>
        <s v="TRX0038"/>
        <s v="TRX0014"/>
        <s v="TRX0003"/>
        <s v="TRX0124"/>
        <s v="TRX0013"/>
        <s v="TRX0019"/>
        <s v="TRX0050"/>
        <s v="TRX0152"/>
        <s v="TRX0213"/>
        <s v="TRX0197"/>
        <s v="TRX0250"/>
        <s v="TRX0068"/>
        <s v="TRX0144"/>
        <s v="TRX0039"/>
        <s v="TRX0116"/>
        <s v="TRX0120"/>
        <s v="TRX0103"/>
        <s v="TRX0064"/>
      </sharedItems>
    </cacheField>
    <cacheField name="Date" numFmtId="164">
      <sharedItems containsSemiMixedTypes="0" containsNonDate="0" containsDate="1" containsString="0" minDate="2024-04-11T00:00:00" maxDate="2025-04-12T00:00:00" count="162">
        <d v="2024-04-11T00:00:00"/>
        <d v="2024-04-14T00:00:00"/>
        <d v="2024-04-17T00:00:00"/>
        <d v="2024-04-18T00:00:00"/>
        <d v="2024-04-21T00:00:00"/>
        <d v="2024-04-23T00:00:00"/>
        <d v="2024-04-26T00:00:00"/>
        <d v="2024-04-27T00:00:00"/>
        <d v="2024-04-28T00:00:00"/>
        <d v="2024-04-30T00:00:00"/>
        <d v="2024-05-01T00:00:00"/>
        <d v="2024-05-03T00:00:00"/>
        <d v="2024-05-04T00:00:00"/>
        <d v="2024-05-10T00:00:00"/>
        <d v="2024-05-12T00:00:00"/>
        <d v="2024-05-13T00:00:00"/>
        <d v="2024-05-15T00:00:00"/>
        <d v="2024-05-16T00:00:00"/>
        <d v="2024-05-18T00:00:00"/>
        <d v="2024-05-20T00:00:00"/>
        <d v="2024-05-22T00:00:00"/>
        <d v="2024-05-23T00:00:00"/>
        <d v="2024-05-26T00:00:00"/>
        <d v="2024-05-28T00:00:00"/>
        <d v="2024-05-29T00:00:00"/>
        <d v="2024-05-31T00:00:00"/>
        <d v="2024-06-01T00:00:00"/>
        <d v="2024-06-03T00:00:00"/>
        <d v="2024-06-06T00:00:00"/>
        <d v="2024-06-07T00:00:00"/>
        <d v="2024-06-09T00:00:00"/>
        <d v="2024-06-13T00:00:00"/>
        <d v="2024-06-16T00:00:00"/>
        <d v="2024-06-17T00:00:00"/>
        <d v="2024-06-25T00:00:00"/>
        <d v="2024-06-26T00:00:00"/>
        <d v="2024-06-28T00:00:00"/>
        <d v="2024-06-29T00:00:00"/>
        <d v="2024-07-01T00:00:00"/>
        <d v="2024-07-02T00:00:00"/>
        <d v="2024-07-03T00:00:00"/>
        <d v="2024-07-08T00:00:00"/>
        <d v="2024-07-09T00:00:00"/>
        <d v="2024-07-11T00:00:00"/>
        <d v="2024-07-14T00:00:00"/>
        <d v="2024-07-17T00:00:00"/>
        <d v="2024-07-18T00:00:00"/>
        <d v="2024-07-23T00:00:00"/>
        <d v="2024-07-24T00:00:00"/>
        <d v="2024-07-25T00:00:00"/>
        <d v="2024-07-27T00:00:00"/>
        <d v="2024-07-28T00:00:00"/>
        <d v="2024-07-30T00:00:00"/>
        <d v="2024-07-31T00:00:00"/>
        <d v="2024-08-05T00:00:00"/>
        <d v="2024-08-06T00:00:00"/>
        <d v="2024-08-09T00:00:00"/>
        <d v="2024-08-11T00:00:00"/>
        <d v="2024-08-13T00:00:00"/>
        <d v="2024-08-15T00:00:00"/>
        <d v="2024-08-18T00:00:00"/>
        <d v="2024-08-19T00:00:00"/>
        <d v="2024-08-22T00:00:00"/>
        <d v="2024-08-24T00:00:00"/>
        <d v="2024-08-28T00:00:00"/>
        <d v="2024-08-30T00:00:00"/>
        <d v="2024-09-02T00:00:00"/>
        <d v="2024-09-03T00:00:00"/>
        <d v="2024-09-06T00:00:00"/>
        <d v="2024-09-09T00:00:00"/>
        <d v="2024-09-10T00:00:00"/>
        <d v="2024-09-12T00:00:00"/>
        <d v="2024-09-13T00:00:00"/>
        <d v="2024-09-15T00:00:00"/>
        <d v="2024-09-16T00:00:00"/>
        <d v="2024-09-19T00:00:00"/>
        <d v="2024-09-24T00:00:00"/>
        <d v="2024-09-25T00:00:00"/>
        <d v="2024-09-28T00:00:00"/>
        <d v="2024-09-29T00:00:00"/>
        <d v="2024-10-01T00:00:00"/>
        <d v="2024-10-07T00:00:00"/>
        <d v="2024-10-08T00:00:00"/>
        <d v="2024-10-11T00:00:00"/>
        <d v="2024-10-14T00:00:00"/>
        <d v="2024-10-16T00:00:00"/>
        <d v="2024-10-18T00:00:00"/>
        <d v="2024-10-21T00:00:00"/>
        <d v="2024-10-23T00:00:00"/>
        <d v="2024-10-24T00:00:00"/>
        <d v="2024-10-27T00:00:00"/>
        <d v="2024-11-01T00:00:00"/>
        <d v="2024-11-04T00:00:00"/>
        <d v="2024-11-07T00:00:00"/>
        <d v="2024-11-08T00:00:00"/>
        <d v="2024-11-09T00:00:00"/>
        <d v="2024-11-11T00:00:00"/>
        <d v="2024-11-12T00:00:00"/>
        <d v="2024-11-17T00:00:00"/>
        <d v="2024-11-21T00:00:00"/>
        <d v="2024-11-23T00:00:00"/>
        <d v="2024-11-26T00:00:00"/>
        <d v="2024-11-27T00:00:00"/>
        <d v="2024-12-01T00:00:00"/>
        <d v="2024-12-03T00:00:00"/>
        <d v="2024-12-04T00:00:00"/>
        <d v="2024-12-09T00:00:00"/>
        <d v="2024-12-10T00:00:00"/>
        <d v="2024-12-12T00:00:00"/>
        <d v="2024-12-15T00:00:00"/>
        <d v="2024-12-18T00:00:00"/>
        <d v="2024-12-19T00:00:00"/>
        <d v="2024-12-20T00:00:00"/>
        <d v="2024-12-22T00:00:00"/>
        <d v="2024-12-23T00:00:00"/>
        <d v="2024-12-28T00:00:00"/>
        <d v="2024-12-29T00:00:00"/>
        <d v="2024-12-31T00:00:00"/>
        <d v="2025-01-03T00:00:00"/>
        <d v="2025-01-04T00:00:00"/>
        <d v="2025-01-06T00:00:00"/>
        <d v="2025-01-09T00:00:00"/>
        <d v="2025-01-10T00:00:00"/>
        <d v="2025-01-11T00:00:00"/>
        <d v="2025-01-13T00:00:00"/>
        <d v="2025-01-14T00:00:00"/>
        <d v="2025-01-16T00:00:00"/>
        <d v="2025-01-19T00:00:00"/>
        <d v="2025-01-25T00:00:00"/>
        <d v="2025-01-26T00:00:00"/>
        <d v="2025-01-29T00:00:00"/>
        <d v="2025-01-31T00:00:00"/>
        <d v="2025-02-04T00:00:00"/>
        <d v="2025-02-07T00:00:00"/>
        <d v="2025-02-08T00:00:00"/>
        <d v="2025-02-13T00:00:00"/>
        <d v="2025-02-16T00:00:00"/>
        <d v="2025-02-17T00:00:00"/>
        <d v="2025-02-19T00:00:00"/>
        <d v="2025-02-20T00:00:00"/>
        <d v="2025-02-22T00:00:00"/>
        <d v="2025-02-23T00:00:00"/>
        <d v="2025-02-24T00:00:00"/>
        <d v="2025-02-27T00:00:00"/>
        <d v="2025-03-02T00:00:00"/>
        <d v="2025-03-04T00:00:00"/>
        <d v="2025-03-05T00:00:00"/>
        <d v="2025-03-07T00:00:00"/>
        <d v="2025-03-08T00:00:00"/>
        <d v="2025-03-10T00:00:00"/>
        <d v="2025-03-18T00:00:00"/>
        <d v="2025-03-21T00:00:00"/>
        <d v="2025-03-23T00:00:00"/>
        <d v="2025-03-24T00:00:00"/>
        <d v="2025-03-27T00:00:00"/>
        <d v="2025-03-29T00:00:00"/>
        <d v="2025-03-30T00:00:00"/>
        <d v="2025-04-01T00:00:00"/>
        <d v="2025-04-02T00:00:00"/>
        <d v="2025-04-08T00:00:00"/>
        <d v="2025-04-09T00:00:00"/>
        <d v="2025-04-11T00:00:00"/>
      </sharedItems>
    </cacheField>
    <cacheField name="Customer_ID" numFmtId="0">
      <sharedItems/>
    </cacheField>
    <cacheField name="Customer_Name" numFmtId="0">
      <sharedItems/>
    </cacheField>
    <cacheField name="Product_ID" numFmtId="0">
      <sharedItems/>
    </cacheField>
    <cacheField name="Product_Name" numFmtId="0">
      <sharedItems/>
    </cacheField>
    <cacheField name="Category" numFmtId="0">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59.99" maxValue="899.99"/>
    </cacheField>
    <cacheField name="Payment_Method" numFmtId="0">
      <sharedItems/>
    </cacheField>
    <cacheField name="Region" numFmtId="0">
      <sharedItems count="5">
        <s v="Central"/>
        <s v="South"/>
        <s v="North"/>
        <s v="West"/>
        <s v="East"/>
      </sharedItems>
    </cacheField>
    <cacheField name="Customer_Segment" numFmtId="0">
      <sharedItems/>
    </cacheField>
    <cacheField name="Customer_Since" numFmtId="164">
      <sharedItems containsSemiMixedTypes="0" containsNonDate="0" containsDate="1" containsString="0" minDate="2021-07-18T00:00:00" maxDate="2024-04-12T00:00:00"/>
    </cacheField>
    <cacheField name="Total_Amount" numFmtId="0">
      <sharedItems containsSemiMixedTypes="0" containsString="0" containsNumber="1" minValue="59.99" maxValue="4499.95"/>
    </cacheField>
    <cacheField name="Date_Time" numFmtId="22">
      <sharedItems containsSemiMixedTypes="0" containsNonDate="0" containsDate="1" containsString="0" minDate="2026-03-03T18:05:23" maxDate="2026-03-03T18:05:23"/>
    </cacheField>
    <cacheField name="Timestamp" numFmtId="14">
      <sharedItems containsSemiMixedTypes="0" containsNonDate="0" containsDate="1" containsString="0" minDate="2026-03-03T18:05:23" maxDate="2026-03-03T18:05:23"/>
    </cacheField>
    <cacheField name="Goal seek" numFmtId="0">
      <sharedItems containsSemiMixedTypes="0" containsString="0" containsNumber="1" minValue="269.97000000000003" maxValue="228922.50000000032"/>
    </cacheField>
    <cacheField name="High" numFmtId="0">
      <sharedItems containsSemiMixedTypes="0" containsString="0" containsNumber="1" minValue="1.2" maxValue="6"/>
    </cacheField>
    <cacheField name="New total" numFmtId="0">
      <sharedItems containsSemiMixedTypes="0" containsString="0" containsNumber="1" minValue="71.988" maxValue="5399.9400000000005"/>
    </cacheField>
    <cacheField name="Total revenue(High)" numFmtId="0">
      <sharedItems containsSemiMixedTypes="0" containsString="0" containsNumber="1" minValue="323.96399999999994" maxValue="274707"/>
    </cacheField>
    <cacheField name="Discount Sale" numFmtId="0">
      <sharedItems containsSemiMixedTypes="0" containsString="0" containsNumber="1" minValue="242.97300000000001" maxValue="206030.24999999985"/>
    </cacheField>
    <cacheField name="Festival sale" numFmtId="0">
      <sharedItems containsSemiMixedTypes="0" containsString="0" containsNumber="1" minValue="294.94222499999995" maxValue="250097.83125000037"/>
    </cacheField>
  </cacheFields>
  <extLst>
    <ext xmlns:x14="http://schemas.microsoft.com/office/spreadsheetml/2009/9/main" uri="{725AE2AE-9491-48be-B2B4-4EB974FC3084}">
      <x14:pivotCacheDefinition pivotCacheId="802277830"/>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shal Soni" refreshedDate="46084.754024884256" createdVersion="8" refreshedVersion="8" minRefreshableVersion="3" recordCount="250" xr:uid="{B53811E6-EFA1-4479-BD4F-FBD8F5E63B9A}">
  <cacheSource type="worksheet">
    <worksheetSource name="Table1"/>
  </cacheSource>
  <cacheFields count="22">
    <cacheField name="Transaction_ID" numFmtId="0">
      <sharedItems count="250">
        <s v="TRX0155"/>
        <s v="TRX0023"/>
        <s v="TRX0139"/>
        <s v="TRX0043"/>
        <s v="TRX0212"/>
        <s v="TRX0092"/>
        <s v="TRX0193"/>
        <s v="TRX0240"/>
        <s v="TRX0135"/>
        <s v="TRX0185"/>
        <s v="TRX0138"/>
        <s v="TRX0209"/>
        <s v="TRX0246"/>
        <s v="TRX0067"/>
        <s v="TRX0191"/>
        <s v="TRX0230"/>
        <s v="TRX0049"/>
        <s v="TRX0134"/>
        <s v="TRX0122"/>
        <s v="TRX0222"/>
        <s v="TRX0231"/>
        <s v="TRX0239"/>
        <s v="TRX0204"/>
        <s v="TRX0242"/>
        <s v="TRX0071"/>
        <s v="TRX0040"/>
        <s v="TRX0235"/>
        <s v="TRX0004"/>
        <s v="TRX0063"/>
        <s v="TRX0241"/>
        <s v="TRX0029"/>
        <s v="TRX0194"/>
        <s v="TRX0130"/>
        <s v="TRX0041"/>
        <s v="TRX0232"/>
        <s v="TRX0021"/>
        <s v="TRX0245"/>
        <s v="TRX0015"/>
        <s v="TRX0202"/>
        <s v="TRX0042"/>
        <s v="TRX0128"/>
        <s v="TRX0117"/>
        <s v="TRX0208"/>
        <s v="TRX0234"/>
        <s v="TRX0121"/>
        <s v="TRX0220"/>
        <s v="TRX0093"/>
        <s v="TRX0088"/>
        <s v="TRX0115"/>
        <s v="TRX0154"/>
        <s v="TRX0044"/>
        <s v="TRX0061"/>
        <s v="TRX0150"/>
        <s v="TRX0025"/>
        <s v="TRX0078"/>
        <s v="TRX0007"/>
        <s v="TRX0184"/>
        <s v="TRX0104"/>
        <s v="TRX0127"/>
        <s v="TRX0096"/>
        <s v="TRX0192"/>
        <s v="TRX0052"/>
        <s v="TRX0070"/>
        <s v="TRX0086"/>
        <s v="TRX0113"/>
        <s v="TRX0114"/>
        <s v="TRX0136"/>
        <s v="TRX0018"/>
        <s v="TRX0141"/>
        <s v="TRX0097"/>
        <s v="TRX0169"/>
        <s v="TRX0216"/>
        <s v="TRX0131"/>
        <s v="TRX0162"/>
        <s v="TRX0244"/>
        <s v="TRX0006"/>
        <s v="TRX0215"/>
        <s v="TRX0080"/>
        <s v="TRX0228"/>
        <s v="TRX0157"/>
        <s v="TRX0002"/>
        <s v="TRX0217"/>
        <s v="TRX0249"/>
        <s v="TRX0065"/>
        <s v="TRX0176"/>
        <s v="TRX0101"/>
        <s v="TRX0205"/>
        <s v="TRX0020"/>
        <s v="TRX0075"/>
        <s v="TRX0098"/>
        <s v="TRX0247"/>
        <s v="TRX0027"/>
        <s v="TRX0140"/>
        <s v="TRX0132"/>
        <s v="TRX0031"/>
        <s v="TRX0236"/>
        <s v="TRX0001"/>
        <s v="TRX0037"/>
        <s v="TRX0058"/>
        <s v="TRX0170"/>
        <s v="TRX0248"/>
        <s v="TRX0099"/>
        <s v="TRX0074"/>
        <s v="TRX0225"/>
        <s v="TRX0100"/>
        <s v="TRX0142"/>
        <s v="TRX0112"/>
        <s v="TRX0161"/>
        <s v="TRX0108"/>
        <s v="TRX0211"/>
        <s v="TRX0005"/>
        <s v="TRX0195"/>
        <s v="TRX0054"/>
        <s v="TRX0077"/>
        <s v="TRX0111"/>
        <s v="TRX0123"/>
        <s v="TRX0177"/>
        <s v="TRX0119"/>
        <s v="TRX0181"/>
        <s v="TRX0129"/>
        <s v="TRX0174"/>
        <s v="TRX0146"/>
        <s v="TRX0203"/>
        <s v="TRX0055"/>
        <s v="TRX0218"/>
        <s v="TRX0085"/>
        <s v="TRX0158"/>
        <s v="TRX0173"/>
        <s v="TRX0034"/>
        <s v="TRX0189"/>
        <s v="TRX0190"/>
        <s v="TRX0079"/>
        <s v="TRX0095"/>
        <s v="TRX0009"/>
        <s v="TRX0167"/>
        <s v="TRX0153"/>
        <s v="TRX0057"/>
        <s v="TRX0017"/>
        <s v="TRX0060"/>
        <s v="TRX0109"/>
        <s v="TRX0090"/>
        <s v="TRX0035"/>
        <s v="TRX0172"/>
        <s v="TRX0076"/>
        <s v="TRX0210"/>
        <s v="TRX0149"/>
        <s v="TRX0073"/>
        <s v="TRX0033"/>
        <s v="TRX0160"/>
        <s v="TRX0145"/>
        <s v="TRX0148"/>
        <s v="TRX0012"/>
        <s v="TRX0206"/>
        <s v="TRX0045"/>
        <s v="TRX0094"/>
        <s v="TRX0133"/>
        <s v="TRX0201"/>
        <s v="TRX0137"/>
        <s v="TRX0066"/>
        <s v="TRX0180"/>
        <s v="TRX0082"/>
        <s v="TRX0036"/>
        <s v="TRX0198"/>
        <s v="TRX0032"/>
        <s v="TRX0081"/>
        <s v="TRX0224"/>
        <s v="TRX0028"/>
        <s v="TRX0183"/>
        <s v="TRX0163"/>
        <s v="TRX0046"/>
        <s v="TRX0164"/>
        <s v="TRX0008"/>
        <s v="TRX0171"/>
        <s v="TRX0143"/>
        <s v="TRX0165"/>
        <s v="TRX0156"/>
        <s v="TRX0147"/>
        <s v="TRX0207"/>
        <s v="TRX0056"/>
        <s v="TRX0026"/>
        <s v="TRX0237"/>
        <s v="TRX0091"/>
        <s v="TRX0125"/>
        <s v="TRX0223"/>
        <s v="TRX0243"/>
        <s v="TRX0084"/>
        <s v="TRX0238"/>
        <s v="TRX0102"/>
        <s v="TRX0022"/>
        <s v="TRX0087"/>
        <s v="TRX0107"/>
        <s v="TRX0051"/>
        <s v="TRX0106"/>
        <s v="TRX0059"/>
        <s v="TRX0072"/>
        <s v="TRX0110"/>
        <s v="TRX0126"/>
        <s v="TRX0159"/>
        <s v="TRX0030"/>
        <s v="TRX0178"/>
        <s v="TRX0188"/>
        <s v="TRX0010"/>
        <s v="TRX0069"/>
        <s v="TRX0166"/>
        <s v="TRX0219"/>
        <s v="TRX0024"/>
        <s v="TRX0105"/>
        <s v="TRX0011"/>
        <s v="TRX0187"/>
        <s v="TRX0089"/>
        <s v="TRX0196"/>
        <s v="TRX0118"/>
        <s v="TRX0179"/>
        <s v="TRX0168"/>
        <s v="TRX0214"/>
        <s v="TRX0221"/>
        <s v="TRX0083"/>
        <s v="TRX0151"/>
        <s v="TRX0047"/>
        <s v="TRX0200"/>
        <s v="TRX0062"/>
        <s v="TRX0182"/>
        <s v="TRX0229"/>
        <s v="TRX0048"/>
        <s v="TRX0227"/>
        <s v="TRX0226"/>
        <s v="TRX0053"/>
        <s v="TRX0233"/>
        <s v="TRX0175"/>
        <s v="TRX0186"/>
        <s v="TRX0016"/>
        <s v="TRX0199"/>
        <s v="TRX0038"/>
        <s v="TRX0014"/>
        <s v="TRX0003"/>
        <s v="TRX0124"/>
        <s v="TRX0013"/>
        <s v="TRX0019"/>
        <s v="TRX0050"/>
        <s v="TRX0152"/>
        <s v="TRX0213"/>
        <s v="TRX0197"/>
        <s v="TRX0250"/>
        <s v="TRX0068"/>
        <s v="TRX0144"/>
        <s v="TRX0039"/>
        <s v="TRX0116"/>
        <s v="TRX0120"/>
        <s v="TRX0103"/>
        <s v="TRX0064"/>
      </sharedItems>
    </cacheField>
    <cacheField name="Date" numFmtId="164">
      <sharedItems containsSemiMixedTypes="0" containsNonDate="0" containsDate="1" containsString="0" minDate="2024-04-11T00:00:00" maxDate="2025-04-12T00:00:00"/>
    </cacheField>
    <cacheField name="Customer_ID" numFmtId="0">
      <sharedItems/>
    </cacheField>
    <cacheField name="Customer_Name" numFmtId="0">
      <sharedItems/>
    </cacheField>
    <cacheField name="Product_ID" numFmtId="0">
      <sharedItems/>
    </cacheField>
    <cacheField name="Product_Name" numFmtId="0">
      <sharedItems/>
    </cacheField>
    <cacheField name="Category" numFmtId="0">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59.99" maxValue="899.99"/>
    </cacheField>
    <cacheField name="Payment_Method" numFmtId="0">
      <sharedItems count="4">
        <s v="Cash"/>
        <s v="Credit Card"/>
        <s v="PayPal"/>
        <s v="Debit Card"/>
      </sharedItems>
    </cacheField>
    <cacheField name="Region" numFmtId="0">
      <sharedItems/>
    </cacheField>
    <cacheField name="Customer_Segment" numFmtId="0">
      <sharedItems/>
    </cacheField>
    <cacheField name="Customer_Since" numFmtId="164">
      <sharedItems containsSemiMixedTypes="0" containsNonDate="0" containsDate="1" containsString="0" minDate="2021-07-18T00:00:00" maxDate="2024-04-12T00:00:00"/>
    </cacheField>
    <cacheField name="Total_Amount" numFmtId="0">
      <sharedItems containsSemiMixedTypes="0" containsString="0" containsNumber="1" minValue="59.99" maxValue="4499.95"/>
    </cacheField>
    <cacheField name="Date_Time" numFmtId="22">
      <sharedItems containsSemiMixedTypes="0" containsNonDate="0" containsDate="1" containsString="0" minDate="2026-03-03T18:05:35" maxDate="2026-03-03T18:05:35"/>
    </cacheField>
    <cacheField name="Timestamp" numFmtId="14">
      <sharedItems containsSemiMixedTypes="0" containsNonDate="0" containsDate="1" containsString="0" minDate="2026-03-03T18:05:35" maxDate="2026-03-03T18:05:35"/>
    </cacheField>
    <cacheField name="Goal seek" numFmtId="0">
      <sharedItems containsSemiMixedTypes="0" containsString="0" containsNumber="1" minValue="269.97000000000003" maxValue="228922.50000000032"/>
    </cacheField>
    <cacheField name="High" numFmtId="0">
      <sharedItems containsSemiMixedTypes="0" containsString="0" containsNumber="1" minValue="1.2" maxValue="6"/>
    </cacheField>
    <cacheField name="New total" numFmtId="0">
      <sharedItems containsSemiMixedTypes="0" containsString="0" containsNumber="1" minValue="71.988" maxValue="5399.9400000000005"/>
    </cacheField>
    <cacheField name="Total revenue(High)" numFmtId="0">
      <sharedItems containsSemiMixedTypes="0" containsString="0" containsNumber="1" minValue="323.96399999999994" maxValue="274707"/>
    </cacheField>
    <cacheField name="Discount Sale" numFmtId="0">
      <sharedItems containsSemiMixedTypes="0" containsString="0" containsNumber="1" minValue="242.97300000000001" maxValue="206030.24999999985"/>
    </cacheField>
    <cacheField name="Festival sale" numFmtId="0">
      <sharedItems containsSemiMixedTypes="0" containsString="0" containsNumber="1" minValue="294.94222499999995" maxValue="250097.83125000037"/>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shal Soni" refreshedDate="46084.75436712963" createdVersion="8" refreshedVersion="8" minRefreshableVersion="3" recordCount="250" xr:uid="{941F2308-4BC7-4F5F-A69D-7847CB7330B4}">
  <cacheSource type="worksheet">
    <worksheetSource name="Table1"/>
  </cacheSource>
  <cacheFields count="25">
    <cacheField name="Transaction_ID" numFmtId="0">
      <sharedItems count="250">
        <s v="TRX0155"/>
        <s v="TRX0023"/>
        <s v="TRX0139"/>
        <s v="TRX0043"/>
        <s v="TRX0212"/>
        <s v="TRX0092"/>
        <s v="TRX0193"/>
        <s v="TRX0240"/>
        <s v="TRX0135"/>
        <s v="TRX0185"/>
        <s v="TRX0138"/>
        <s v="TRX0209"/>
        <s v="TRX0246"/>
        <s v="TRX0067"/>
        <s v="TRX0191"/>
        <s v="TRX0230"/>
        <s v="TRX0049"/>
        <s v="TRX0134"/>
        <s v="TRX0122"/>
        <s v="TRX0222"/>
        <s v="TRX0231"/>
        <s v="TRX0239"/>
        <s v="TRX0204"/>
        <s v="TRX0242"/>
        <s v="TRX0071"/>
        <s v="TRX0040"/>
        <s v="TRX0235"/>
        <s v="TRX0004"/>
        <s v="TRX0063"/>
        <s v="TRX0241"/>
        <s v="TRX0029"/>
        <s v="TRX0194"/>
        <s v="TRX0130"/>
        <s v="TRX0041"/>
        <s v="TRX0232"/>
        <s v="TRX0021"/>
        <s v="TRX0245"/>
        <s v="TRX0015"/>
        <s v="TRX0202"/>
        <s v="TRX0042"/>
        <s v="TRX0128"/>
        <s v="TRX0117"/>
        <s v="TRX0208"/>
        <s v="TRX0234"/>
        <s v="TRX0121"/>
        <s v="TRX0220"/>
        <s v="TRX0093"/>
        <s v="TRX0088"/>
        <s v="TRX0115"/>
        <s v="TRX0154"/>
        <s v="TRX0044"/>
        <s v="TRX0061"/>
        <s v="TRX0150"/>
        <s v="TRX0025"/>
        <s v="TRX0078"/>
        <s v="TRX0007"/>
        <s v="TRX0184"/>
        <s v="TRX0104"/>
        <s v="TRX0127"/>
        <s v="TRX0096"/>
        <s v="TRX0192"/>
        <s v="TRX0052"/>
        <s v="TRX0070"/>
        <s v="TRX0086"/>
        <s v="TRX0113"/>
        <s v="TRX0114"/>
        <s v="TRX0136"/>
        <s v="TRX0018"/>
        <s v="TRX0141"/>
        <s v="TRX0097"/>
        <s v="TRX0169"/>
        <s v="TRX0216"/>
        <s v="TRX0131"/>
        <s v="TRX0162"/>
        <s v="TRX0244"/>
        <s v="TRX0006"/>
        <s v="TRX0215"/>
        <s v="TRX0080"/>
        <s v="TRX0228"/>
        <s v="TRX0157"/>
        <s v="TRX0002"/>
        <s v="TRX0217"/>
        <s v="TRX0249"/>
        <s v="TRX0065"/>
        <s v="TRX0176"/>
        <s v="TRX0101"/>
        <s v="TRX0205"/>
        <s v="TRX0020"/>
        <s v="TRX0075"/>
        <s v="TRX0098"/>
        <s v="TRX0247"/>
        <s v="TRX0027"/>
        <s v="TRX0140"/>
        <s v="TRX0132"/>
        <s v="TRX0031"/>
        <s v="TRX0236"/>
        <s v="TRX0001"/>
        <s v="TRX0037"/>
        <s v="TRX0058"/>
        <s v="TRX0170"/>
        <s v="TRX0248"/>
        <s v="TRX0099"/>
        <s v="TRX0074"/>
        <s v="TRX0225"/>
        <s v="TRX0100"/>
        <s v="TRX0142"/>
        <s v="TRX0112"/>
        <s v="TRX0161"/>
        <s v="TRX0108"/>
        <s v="TRX0211"/>
        <s v="TRX0005"/>
        <s v="TRX0195"/>
        <s v="TRX0054"/>
        <s v="TRX0077"/>
        <s v="TRX0111"/>
        <s v="TRX0123"/>
        <s v="TRX0177"/>
        <s v="TRX0119"/>
        <s v="TRX0181"/>
        <s v="TRX0129"/>
        <s v="TRX0174"/>
        <s v="TRX0146"/>
        <s v="TRX0203"/>
        <s v="TRX0055"/>
        <s v="TRX0218"/>
        <s v="TRX0085"/>
        <s v="TRX0158"/>
        <s v="TRX0173"/>
        <s v="TRX0034"/>
        <s v="TRX0189"/>
        <s v="TRX0190"/>
        <s v="TRX0079"/>
        <s v="TRX0095"/>
        <s v="TRX0009"/>
        <s v="TRX0167"/>
        <s v="TRX0153"/>
        <s v="TRX0057"/>
        <s v="TRX0017"/>
        <s v="TRX0060"/>
        <s v="TRX0109"/>
        <s v="TRX0090"/>
        <s v="TRX0035"/>
        <s v="TRX0172"/>
        <s v="TRX0076"/>
        <s v="TRX0210"/>
        <s v="TRX0149"/>
        <s v="TRX0073"/>
        <s v="TRX0033"/>
        <s v="TRX0160"/>
        <s v="TRX0145"/>
        <s v="TRX0148"/>
        <s v="TRX0012"/>
        <s v="TRX0206"/>
        <s v="TRX0045"/>
        <s v="TRX0094"/>
        <s v="TRX0133"/>
        <s v="TRX0201"/>
        <s v="TRX0137"/>
        <s v="TRX0066"/>
        <s v="TRX0180"/>
        <s v="TRX0082"/>
        <s v="TRX0036"/>
        <s v="TRX0198"/>
        <s v="TRX0032"/>
        <s v="TRX0081"/>
        <s v="TRX0224"/>
        <s v="TRX0028"/>
        <s v="TRX0183"/>
        <s v="TRX0163"/>
        <s v="TRX0046"/>
        <s v="TRX0164"/>
        <s v="TRX0008"/>
        <s v="TRX0171"/>
        <s v="TRX0143"/>
        <s v="TRX0165"/>
        <s v="TRX0156"/>
        <s v="TRX0147"/>
        <s v="TRX0207"/>
        <s v="TRX0056"/>
        <s v="TRX0026"/>
        <s v="TRX0237"/>
        <s v="TRX0091"/>
        <s v="TRX0125"/>
        <s v="TRX0223"/>
        <s v="TRX0243"/>
        <s v="TRX0084"/>
        <s v="TRX0238"/>
        <s v="TRX0102"/>
        <s v="TRX0022"/>
        <s v="TRX0087"/>
        <s v="TRX0107"/>
        <s v="TRX0051"/>
        <s v="TRX0106"/>
        <s v="TRX0059"/>
        <s v="TRX0072"/>
        <s v="TRX0110"/>
        <s v="TRX0126"/>
        <s v="TRX0159"/>
        <s v="TRX0030"/>
        <s v="TRX0178"/>
        <s v="TRX0188"/>
        <s v="TRX0010"/>
        <s v="TRX0069"/>
        <s v="TRX0166"/>
        <s v="TRX0219"/>
        <s v="TRX0024"/>
        <s v="TRX0105"/>
        <s v="TRX0011"/>
        <s v="TRX0187"/>
        <s v="TRX0089"/>
        <s v="TRX0196"/>
        <s v="TRX0118"/>
        <s v="TRX0179"/>
        <s v="TRX0168"/>
        <s v="TRX0214"/>
        <s v="TRX0221"/>
        <s v="TRX0083"/>
        <s v="TRX0151"/>
        <s v="TRX0047"/>
        <s v="TRX0200"/>
        <s v="TRX0062"/>
        <s v="TRX0182"/>
        <s v="TRX0229"/>
        <s v="TRX0048"/>
        <s v="TRX0227"/>
        <s v="TRX0226"/>
        <s v="TRX0053"/>
        <s v="TRX0233"/>
        <s v="TRX0175"/>
        <s v="TRX0186"/>
        <s v="TRX0016"/>
        <s v="TRX0199"/>
        <s v="TRX0038"/>
        <s v="TRX0014"/>
        <s v="TRX0003"/>
        <s v="TRX0124"/>
        <s v="TRX0013"/>
        <s v="TRX0019"/>
        <s v="TRX0050"/>
        <s v="TRX0152"/>
        <s v="TRX0213"/>
        <s v="TRX0197"/>
        <s v="TRX0250"/>
        <s v="TRX0068"/>
        <s v="TRX0144"/>
        <s v="TRX0039"/>
        <s v="TRX0116"/>
        <s v="TRX0120"/>
        <s v="TRX0103"/>
        <s v="TRX0064"/>
      </sharedItems>
    </cacheField>
    <cacheField name="Date" numFmtId="164">
      <sharedItems containsSemiMixedTypes="0" containsNonDate="0" containsDate="1" containsString="0" minDate="2024-04-11T00:00:00" maxDate="2025-04-12T00:00:00" count="162">
        <d v="2024-04-11T00:00:00"/>
        <d v="2024-04-14T00:00:00"/>
        <d v="2024-04-17T00:00:00"/>
        <d v="2024-04-18T00:00:00"/>
        <d v="2024-04-21T00:00:00"/>
        <d v="2024-04-23T00:00:00"/>
        <d v="2024-04-26T00:00:00"/>
        <d v="2024-04-27T00:00:00"/>
        <d v="2024-04-28T00:00:00"/>
        <d v="2024-04-30T00:00:00"/>
        <d v="2024-05-01T00:00:00"/>
        <d v="2024-05-03T00:00:00"/>
        <d v="2024-05-04T00:00:00"/>
        <d v="2024-05-10T00:00:00"/>
        <d v="2024-05-12T00:00:00"/>
        <d v="2024-05-13T00:00:00"/>
        <d v="2024-05-15T00:00:00"/>
        <d v="2024-05-16T00:00:00"/>
        <d v="2024-05-18T00:00:00"/>
        <d v="2024-05-20T00:00:00"/>
        <d v="2024-05-22T00:00:00"/>
        <d v="2024-05-23T00:00:00"/>
        <d v="2024-05-26T00:00:00"/>
        <d v="2024-05-28T00:00:00"/>
        <d v="2024-05-29T00:00:00"/>
        <d v="2024-05-31T00:00:00"/>
        <d v="2024-06-01T00:00:00"/>
        <d v="2024-06-03T00:00:00"/>
        <d v="2024-06-06T00:00:00"/>
        <d v="2024-06-07T00:00:00"/>
        <d v="2024-06-09T00:00:00"/>
        <d v="2024-06-13T00:00:00"/>
        <d v="2024-06-16T00:00:00"/>
        <d v="2024-06-17T00:00:00"/>
        <d v="2024-06-25T00:00:00"/>
        <d v="2024-06-26T00:00:00"/>
        <d v="2024-06-28T00:00:00"/>
        <d v="2024-06-29T00:00:00"/>
        <d v="2024-07-01T00:00:00"/>
        <d v="2024-07-02T00:00:00"/>
        <d v="2024-07-03T00:00:00"/>
        <d v="2024-07-08T00:00:00"/>
        <d v="2024-07-09T00:00:00"/>
        <d v="2024-07-11T00:00:00"/>
        <d v="2024-07-14T00:00:00"/>
        <d v="2024-07-17T00:00:00"/>
        <d v="2024-07-18T00:00:00"/>
        <d v="2024-07-23T00:00:00"/>
        <d v="2024-07-24T00:00:00"/>
        <d v="2024-07-25T00:00:00"/>
        <d v="2024-07-27T00:00:00"/>
        <d v="2024-07-28T00:00:00"/>
        <d v="2024-07-30T00:00:00"/>
        <d v="2024-07-31T00:00:00"/>
        <d v="2024-08-05T00:00:00"/>
        <d v="2024-08-06T00:00:00"/>
        <d v="2024-08-09T00:00:00"/>
        <d v="2024-08-11T00:00:00"/>
        <d v="2024-08-13T00:00:00"/>
        <d v="2024-08-15T00:00:00"/>
        <d v="2024-08-18T00:00:00"/>
        <d v="2024-08-19T00:00:00"/>
        <d v="2024-08-22T00:00:00"/>
        <d v="2024-08-24T00:00:00"/>
        <d v="2024-08-28T00:00:00"/>
        <d v="2024-08-30T00:00:00"/>
        <d v="2024-09-02T00:00:00"/>
        <d v="2024-09-03T00:00:00"/>
        <d v="2024-09-06T00:00:00"/>
        <d v="2024-09-09T00:00:00"/>
        <d v="2024-09-10T00:00:00"/>
        <d v="2024-09-12T00:00:00"/>
        <d v="2024-09-13T00:00:00"/>
        <d v="2024-09-15T00:00:00"/>
        <d v="2024-09-16T00:00:00"/>
        <d v="2024-09-19T00:00:00"/>
        <d v="2024-09-24T00:00:00"/>
        <d v="2024-09-25T00:00:00"/>
        <d v="2024-09-28T00:00:00"/>
        <d v="2024-09-29T00:00:00"/>
        <d v="2024-10-01T00:00:00"/>
        <d v="2024-10-07T00:00:00"/>
        <d v="2024-10-08T00:00:00"/>
        <d v="2024-10-11T00:00:00"/>
        <d v="2024-10-14T00:00:00"/>
        <d v="2024-10-16T00:00:00"/>
        <d v="2024-10-18T00:00:00"/>
        <d v="2024-10-21T00:00:00"/>
        <d v="2024-10-23T00:00:00"/>
        <d v="2024-10-24T00:00:00"/>
        <d v="2024-10-27T00:00:00"/>
        <d v="2024-11-01T00:00:00"/>
        <d v="2024-11-04T00:00:00"/>
        <d v="2024-11-07T00:00:00"/>
        <d v="2024-11-08T00:00:00"/>
        <d v="2024-11-09T00:00:00"/>
        <d v="2024-11-11T00:00:00"/>
        <d v="2024-11-12T00:00:00"/>
        <d v="2024-11-17T00:00:00"/>
        <d v="2024-11-21T00:00:00"/>
        <d v="2024-11-23T00:00:00"/>
        <d v="2024-11-26T00:00:00"/>
        <d v="2024-11-27T00:00:00"/>
        <d v="2024-12-01T00:00:00"/>
        <d v="2024-12-03T00:00:00"/>
        <d v="2024-12-04T00:00:00"/>
        <d v="2024-12-09T00:00:00"/>
        <d v="2024-12-10T00:00:00"/>
        <d v="2024-12-12T00:00:00"/>
        <d v="2024-12-15T00:00:00"/>
        <d v="2024-12-18T00:00:00"/>
        <d v="2024-12-19T00:00:00"/>
        <d v="2024-12-20T00:00:00"/>
        <d v="2024-12-22T00:00:00"/>
        <d v="2024-12-23T00:00:00"/>
        <d v="2024-12-28T00:00:00"/>
        <d v="2024-12-29T00:00:00"/>
        <d v="2024-12-31T00:00:00"/>
        <d v="2025-01-03T00:00:00"/>
        <d v="2025-01-04T00:00:00"/>
        <d v="2025-01-06T00:00:00"/>
        <d v="2025-01-09T00:00:00"/>
        <d v="2025-01-10T00:00:00"/>
        <d v="2025-01-11T00:00:00"/>
        <d v="2025-01-13T00:00:00"/>
        <d v="2025-01-14T00:00:00"/>
        <d v="2025-01-16T00:00:00"/>
        <d v="2025-01-19T00:00:00"/>
        <d v="2025-01-25T00:00:00"/>
        <d v="2025-01-26T00:00:00"/>
        <d v="2025-01-29T00:00:00"/>
        <d v="2025-01-31T00:00:00"/>
        <d v="2025-02-04T00:00:00"/>
        <d v="2025-02-07T00:00:00"/>
        <d v="2025-02-08T00:00:00"/>
        <d v="2025-02-13T00:00:00"/>
        <d v="2025-02-16T00:00:00"/>
        <d v="2025-02-17T00:00:00"/>
        <d v="2025-02-19T00:00:00"/>
        <d v="2025-02-20T00:00:00"/>
        <d v="2025-02-22T00:00:00"/>
        <d v="2025-02-23T00:00:00"/>
        <d v="2025-02-24T00:00:00"/>
        <d v="2025-02-27T00:00:00"/>
        <d v="2025-03-02T00:00:00"/>
        <d v="2025-03-04T00:00:00"/>
        <d v="2025-03-05T00:00:00"/>
        <d v="2025-03-07T00:00:00"/>
        <d v="2025-03-08T00:00:00"/>
        <d v="2025-03-10T00:00:00"/>
        <d v="2025-03-18T00:00:00"/>
        <d v="2025-03-21T00:00:00"/>
        <d v="2025-03-23T00:00:00"/>
        <d v="2025-03-24T00:00:00"/>
        <d v="2025-03-27T00:00:00"/>
        <d v="2025-03-29T00:00:00"/>
        <d v="2025-03-30T00:00:00"/>
        <d v="2025-04-01T00:00:00"/>
        <d v="2025-04-02T00:00:00"/>
        <d v="2025-04-08T00:00:00"/>
        <d v="2025-04-09T00:00:00"/>
        <d v="2025-04-11T00:00:00"/>
      </sharedItems>
      <fieldGroup par="24"/>
    </cacheField>
    <cacheField name="Customer_ID" numFmtId="0">
      <sharedItems/>
    </cacheField>
    <cacheField name="Customer_Name" numFmtId="0">
      <sharedItems/>
    </cacheField>
    <cacheField name="Product_ID" numFmtId="0">
      <sharedItems/>
    </cacheField>
    <cacheField name="Product_Name" numFmtId="0">
      <sharedItems/>
    </cacheField>
    <cacheField name="Category" numFmtId="0">
      <sharedItems count="3">
        <s v="Electronics"/>
        <s v="Appliances"/>
        <s v="Furniture"/>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59.99" maxValue="899.99"/>
    </cacheField>
    <cacheField name="Payment_Method" numFmtId="0">
      <sharedItems/>
    </cacheField>
    <cacheField name="Region" numFmtId="0">
      <sharedItems/>
    </cacheField>
    <cacheField name="Customer_Segment" numFmtId="0">
      <sharedItems/>
    </cacheField>
    <cacheField name="Customer_Since" numFmtId="164">
      <sharedItems containsSemiMixedTypes="0" containsNonDate="0" containsDate="1" containsString="0" minDate="2021-07-18T00:00:00" maxDate="2024-04-12T00:00:00"/>
    </cacheField>
    <cacheField name="Total_Amount" numFmtId="0">
      <sharedItems containsSemiMixedTypes="0" containsString="0" containsNumber="1" minValue="59.99" maxValue="4499.95"/>
    </cacheField>
    <cacheField name="Date_Time" numFmtId="22">
      <sharedItems containsSemiMixedTypes="0" containsNonDate="0" containsDate="1" containsString="0" minDate="2026-03-03T18:05:48" maxDate="2026-03-03T18:05:48"/>
    </cacheField>
    <cacheField name="Timestamp" numFmtId="14">
      <sharedItems containsSemiMixedTypes="0" containsNonDate="0" containsDate="1" containsString="0" minDate="2026-03-03T18:05:48" maxDate="2026-03-03T18:05:48"/>
    </cacheField>
    <cacheField name="Goal seek" numFmtId="0">
      <sharedItems containsSemiMixedTypes="0" containsString="0" containsNumber="1" minValue="269.97000000000003" maxValue="228922.50000000032" count="250">
        <n v="228922.50000000032"/>
        <n v="228442.50000000029"/>
        <n v="227692.53000000029"/>
        <n v="227512.56000000032"/>
        <n v="227332.59000000032"/>
        <n v="226582.64000000031"/>
        <n v="226462.66000000032"/>
        <n v="225712.71000000031"/>
        <n v="225532.74000000031"/>
        <n v="222832.77000000031"/>
        <n v="222652.80000000031"/>
        <n v="222502.81000000032"/>
        <n v="221752.86000000031"/>
        <n v="221302.89000000031"/>
        <n v="221122.9200000003"/>
        <n v="219022.95000000027"/>
        <n v="218122.96000000028"/>
        <n v="217523.00000000029"/>
        <n v="216123.02000000028"/>
        <n v="212523.06000000029"/>
        <n v="211773.09000000029"/>
        <n v="208273.14000000028"/>
        <n v="205473.18000000028"/>
        <n v="204473.22000000026"/>
        <n v="203273.26000000024"/>
        <n v="202023.31000000023"/>
        <n v="200523.36000000022"/>
        <n v="200283.39000000022"/>
        <n v="199833.44000000024"/>
        <n v="199713.46000000022"/>
        <n v="199473.50000000023"/>
        <n v="198473.55000000025"/>
        <n v="198173.57000000024"/>
        <n v="197723.60000000024"/>
        <n v="196823.61000000022"/>
        <n v="195923.64000000022"/>
        <n v="195683.67000000022"/>
        <n v="195083.70000000022"/>
        <n v="191583.75000000017"/>
        <n v="191313.78000000017"/>
        <n v="191233.79000000018"/>
        <n v="191113.81000000017"/>
        <n v="191023.82000000018"/>
        <n v="190573.8700000002"/>
        <n v="189323.92000000022"/>
        <n v="189233.93000000023"/>
        <n v="188933.95000000022"/>
        <n v="188693.99000000022"/>
        <n v="188244.04000000021"/>
        <n v="188064.0600000002"/>
        <n v="183564.11000000022"/>
        <n v="179064.16000000024"/>
        <n v="179004.17000000022"/>
        <n v="178404.19000000024"/>
        <n v="178044.23000000021"/>
        <n v="177964.24000000022"/>
        <n v="177784.26000000021"/>
        <n v="175684.29000000021"/>
        <n v="172084.33000000025"/>
        <n v="171934.34000000023"/>
        <n v="171754.36000000022"/>
        <n v="171664.37000000023"/>
        <n v="171574.38000000021"/>
        <n v="171174.43000000023"/>
        <n v="171024.44000000021"/>
        <n v="169624.4600000002"/>
        <n v="169174.51000000018"/>
        <n v="168934.55000000019"/>
        <n v="168784.56000000017"/>
        <n v="168484.57000000018"/>
        <n v="168084.59000000017"/>
        <n v="167904.62000000017"/>
        <n v="167454.6500000002"/>
        <n v="166854.68000000017"/>
        <n v="165954.69000000018"/>
        <n v="161454.74000000017"/>
        <n v="161334.76000000018"/>
        <n v="160334.80000000016"/>
        <n v="159834.82000000018"/>
        <n v="159534.83000000019"/>
        <n v="159354.85000000018"/>
        <n v="158454.88000000018"/>
        <n v="157054.90000000014"/>
        <n v="153454.94000000009"/>
        <n v="153154.96000000011"/>
        <n v="152854.9800000001"/>
        <n v="152764.99000000011"/>
        <n v="151265.04000000007"/>
        <n v="150665.08000000005"/>
        <n v="149415.13000000006"/>
        <n v="148665.16000000006"/>
        <n v="147865.20000000004"/>
        <n v="146865.25000000006"/>
        <n v="146685.27000000008"/>
        <n v="142185.32000000004"/>
        <n v="141735.35000000003"/>
        <n v="140985.40000000005"/>
        <n v="140745.43000000005"/>
        <n v="140245.45000000004"/>
        <n v="139545.46000000005"/>
        <n v="139095.49000000008"/>
        <n v="137695.51000000007"/>
        <n v="137445.52000000005"/>
        <n v="137195.53000000006"/>
        <n v="135795.55000000005"/>
        <n v="135615.58000000005"/>
        <n v="135435.61000000004"/>
        <n v="135115.65000000002"/>
        <n v="135035.66000000003"/>
        <n v="134135.69000000003"/>
        <n v="133955.71000000005"/>
        <n v="133355.75000000006"/>
        <n v="132855.77000000005"/>
        <n v="132055.81000000006"/>
        <n v="131605.86000000004"/>
        <n v="131455.87000000005"/>
        <n v="128655.91000000006"/>
        <n v="125955.94000000005"/>
        <n v="125505.97000000004"/>
        <n v="124905.99000000005"/>
        <n v="124706.00000000004"/>
        <n v="123506.04000000002"/>
        <n v="123386.06000000003"/>
        <n v="122786.10000000003"/>
        <n v="121386.12000000002"/>
        <n v="120936.15000000002"/>
        <n v="120036.18000000002"/>
        <n v="117336.21"/>
        <n v="113836.26"/>
        <n v="111036.29999999999"/>
        <n v="110136.31"/>
        <n v="109836.33"/>
        <n v="109566.36"/>
        <n v="109266.37999999999"/>
        <n v="107866.4"/>
        <n v="104366.45"/>
        <n v="104096.48"/>
        <n v="102846.53"/>
        <n v="101946.56"/>
        <n v="101676.59000000001"/>
        <n v="101376.61"/>
        <n v="101126.62"/>
        <n v="100676.65"/>
        <n v="100376.7"/>
        <n v="99376.74"/>
        <n v="98626.79"/>
        <n v="98446.82"/>
        <n v="97696.87"/>
        <n v="96296.890000000014"/>
        <n v="95496.930000000008"/>
        <n v="95436.94"/>
        <n v="93336.969999999987"/>
        <n v="92087.02"/>
        <n v="91787.040000000008"/>
        <n v="90887.07"/>
        <n v="89637.12000000001"/>
        <n v="89337.140000000014"/>
        <n v="85837.190000000031"/>
        <n v="84837.230000000025"/>
        <n v="82037.270000000019"/>
        <n v="81537.290000000023"/>
        <n v="81357.320000000007"/>
        <n v="81037.360000000015"/>
        <n v="80797.390000000014"/>
        <n v="78997.410000000018"/>
        <n v="78847.420000000013"/>
        <n v="78247.440000000017"/>
        <n v="78127.460000000021"/>
        <n v="78037.470000000016"/>
        <n v="73537.52"/>
        <n v="73237.540000000008"/>
        <n v="72937.56"/>
        <n v="72487.590000000011"/>
        <n v="71887.610000000015"/>
        <n v="71287.630000000019"/>
        <n v="70487.670000000013"/>
        <n v="70397.680000000008"/>
        <n v="69647.73000000001"/>
        <n v="68747.74000000002"/>
        <n v="68567.760000000009"/>
        <n v="67667.77"/>
        <n v="66917.820000000007"/>
        <n v="66017.850000000006"/>
        <n v="63917.880000000019"/>
        <n v="62917.930000000022"/>
        <n v="61667.980000000032"/>
        <n v="61068.020000000033"/>
        <n v="58968.050000000017"/>
        <n v="58888.060000000019"/>
        <n v="58588.070000000014"/>
        <n v="57588.110000000015"/>
        <n v="57288.130000000019"/>
        <n v="56388.160000000018"/>
        <n v="55588.200000000019"/>
        <n v="54088.250000000015"/>
        <n v="53638.280000000021"/>
        <n v="53338.330000000016"/>
        <n v="53098.370000000017"/>
        <n v="52098.410000000018"/>
        <n v="48498.450000000019"/>
        <n v="47598.48000000001"/>
        <n v="46198.500000000007"/>
        <n v="43398.540000000008"/>
        <n v="43218.560000000012"/>
        <n v="42948.590000000011"/>
        <n v="42888.600000000013"/>
        <n v="42438.630000000012"/>
        <n v="40938.680000000015"/>
        <n v="40638.730000000018"/>
        <n v="40398.760000000017"/>
        <n v="39798.790000000015"/>
        <n v="39618.810000000012"/>
        <n v="39318.830000000009"/>
        <n v="35818.880000000005"/>
        <n v="35368.910000000011"/>
        <n v="32668.94000000001"/>
        <n v="32068.970000000008"/>
        <n v="30569.020000000004"/>
        <n v="29869.030000000002"/>
        <n v="29169.040000000005"/>
        <n v="28569.080000000005"/>
        <n v="28119.130000000005"/>
        <n v="27719.150000000005"/>
        <n v="27479.190000000002"/>
        <n v="26879.210000000003"/>
        <n v="26579.230000000003"/>
        <n v="23079.280000000002"/>
        <n v="22779.33"/>
        <n v="22599.350000000002"/>
        <n v="21349.4"/>
        <n v="21049.42"/>
        <n v="16549.469999999998"/>
        <n v="15949.509999999995"/>
        <n v="15699.519999999995"/>
        <n v="15579.539999999995"/>
        <n v="15279.559999999996"/>
        <n v="12579.589999999997"/>
        <n v="9879.619999999999"/>
        <n v="8979.65"/>
        <n v="8379.6899999999987"/>
        <n v="8059.7300000000005"/>
        <n v="7609.78"/>
        <n v="7159.81"/>
        <n v="6979.829999999999"/>
        <n v="5579.8499999999995"/>
        <n v="2879.88"/>
        <n v="2639.91"/>
        <n v="2549.92"/>
        <n v="449.95000000000005"/>
        <n v="269.97000000000003"/>
      </sharedItems>
    </cacheField>
    <cacheField name="High" numFmtId="0">
      <sharedItems containsSemiMixedTypes="0" containsString="0" containsNumber="1" minValue="1.2" maxValue="6" count="5">
        <n v="3.5999999999999996"/>
        <n v="6"/>
        <n v="2.4"/>
        <n v="1.2"/>
        <n v="4.8"/>
      </sharedItems>
    </cacheField>
    <cacheField name="New total" numFmtId="0">
      <sharedItems containsSemiMixedTypes="0" containsString="0" containsNumber="1" minValue="71.988" maxValue="5399.9400000000005" count="44">
        <n v="899.96399999999994"/>
        <n v="215.964"/>
        <n v="899.94"/>
        <n v="143.976"/>
        <n v="3239.9639999999995"/>
        <n v="179.988"/>
        <n v="539.96399999999994"/>
        <n v="2519.9639999999999"/>
        <n v="1079.9880000000001"/>
        <n v="719.952"/>
        <n v="1679.9759999999999"/>
        <n v="4319.9520000000002"/>
        <n v="4199.9400000000005"/>
        <n v="3359.9519999999998"/>
        <n v="1199.952"/>
        <n v="1439.952"/>
        <n v="1499.94"/>
        <n v="1799.94"/>
        <n v="287.96399999999994"/>
        <n v="539.93999999999994"/>
        <n v="287.952"/>
        <n v="1199.94"/>
        <n v="359.976"/>
        <n v="1079.9639999999999"/>
        <n v="719.96399999999994"/>
        <n v="323.96399999999994"/>
        <n v="95.987999999999985"/>
        <n v="107.98799999999999"/>
        <n v="215.97599999999997"/>
        <n v="5399.9400000000005"/>
        <n v="71.988"/>
        <n v="719.976"/>
        <n v="431.95199999999994"/>
        <n v="479.93999999999994"/>
        <n v="359.988"/>
        <n v="479.976"/>
        <n v="599.976"/>
        <n v="959.952"/>
        <n v="839.98799999999994"/>
        <n v="299.988"/>
        <n v="383.95199999999994"/>
        <n v="239.988"/>
        <n v="359.94"/>
        <n v="2159.9760000000001"/>
      </sharedItems>
    </cacheField>
    <cacheField name="Total revenue(High)" numFmtId="0">
      <sharedItems containsSemiMixedTypes="0" containsString="0" containsNumber="1" minValue="323.96399999999994" maxValue="274707" count="250">
        <n v="274707"/>
        <n v="274131"/>
        <n v="273231.03600000002"/>
        <n v="273015.07200000004"/>
        <n v="272799.10800000007"/>
        <n v="271899.16800000006"/>
        <n v="271755.19199999998"/>
        <n v="270855.25200000004"/>
        <n v="270639.288"/>
        <n v="267399.32400000002"/>
        <n v="267183.36000000004"/>
        <n v="267003.37200000003"/>
        <n v="266103.43200000003"/>
        <n v="265563.46800000005"/>
        <n v="265347.50400000007"/>
        <n v="262827.54000000004"/>
        <n v="261747.55200000005"/>
        <n v="261027.60000000006"/>
        <n v="259347.62400000007"/>
        <n v="255027.67200000008"/>
        <n v="254127.7080000001"/>
        <n v="249927.76800000007"/>
        <n v="246567.81600000011"/>
        <n v="245367.86400000006"/>
        <n v="243927.91200000007"/>
        <n v="242427.97200000007"/>
        <n v="240628.03200000006"/>
        <n v="240340.06800000009"/>
        <n v="239800.12800000008"/>
        <n v="239656.15200000009"/>
        <n v="239368.20000000007"/>
        <n v="238168.2600000001"/>
        <n v="237808.28400000007"/>
        <n v="237268.32000000009"/>
        <n v="236188.33200000008"/>
        <n v="235108.36800000007"/>
        <n v="234820.40400000007"/>
        <n v="234100.44000000009"/>
        <n v="229900.50000000012"/>
        <n v="229576.53600000014"/>
        <n v="229480.54800000013"/>
        <n v="229336.57200000013"/>
        <n v="229228.58400000012"/>
        <n v="228688.64400000012"/>
        <n v="227188.70400000011"/>
        <n v="227080.7160000001"/>
        <n v="226720.74000000011"/>
        <n v="226432.78800000012"/>
        <n v="225892.84800000011"/>
        <n v="225676.87200000012"/>
        <n v="220276.93200000006"/>
        <n v="214876.99200000009"/>
        <n v="214805.00400000007"/>
        <n v="214085.02800000008"/>
        <n v="213653.07600000009"/>
        <n v="213557.08800000008"/>
        <n v="213341.11200000005"/>
        <n v="210821.14800000004"/>
        <n v="206501.19600000005"/>
        <n v="206321.20800000007"/>
        <n v="206105.23200000005"/>
        <n v="205997.24400000006"/>
        <n v="205889.25600000005"/>
        <n v="205409.31600000005"/>
        <n v="205229.32800000007"/>
        <n v="203549.35200000007"/>
        <n v="203009.41200000007"/>
        <n v="202721.46000000005"/>
        <n v="202541.47200000007"/>
        <n v="202181.48400000005"/>
        <n v="201701.50800000003"/>
        <n v="201485.54400000002"/>
        <n v="200945.58000000002"/>
        <n v="200225.61600000001"/>
        <n v="199145.62800000003"/>
        <n v="193745.68800000008"/>
        <n v="193601.71200000006"/>
        <n v="192401.76000000007"/>
        <n v="191801.78400000007"/>
        <n v="191441.79600000006"/>
        <n v="191225.82000000007"/>
        <n v="190145.85600000006"/>
        <n v="188465.88000000006"/>
        <n v="184145.92800000007"/>
        <n v="183785.95200000008"/>
        <n v="183425.97600000008"/>
        <n v="183317.98800000007"/>
        <n v="181518.04800000004"/>
        <n v="180798.09600000005"/>
        <n v="179298.15600000005"/>
        <n v="178398.19200000004"/>
        <n v="177438.24000000002"/>
        <n v="176238.30000000002"/>
        <n v="176022.32400000002"/>
        <n v="170622.38400000005"/>
        <n v="170082.42"/>
        <n v="169182.48"/>
        <n v="168894.516"/>
        <n v="168294.54"/>
        <n v="167454.55200000003"/>
        <n v="166914.58799999999"/>
        <n v="165234.61199999999"/>
        <n v="164934.62399999998"/>
        <n v="164634.63600000003"/>
        <n v="162954.66"/>
        <n v="162738.696"/>
        <n v="162522.73199999999"/>
        <n v="162138.78"/>
        <n v="162042.79199999999"/>
        <n v="160962.82799999998"/>
        <n v="160746.85199999998"/>
        <n v="160026.9"/>
        <n v="159426.924"/>
        <n v="158466.97200000001"/>
        <n v="157927.03200000001"/>
        <n v="157747.04399999999"/>
        <n v="154387.092"/>
        <n v="151147.12800000003"/>
        <n v="150607.16400000002"/>
        <n v="149887.18799999999"/>
        <n v="149647.20000000001"/>
        <n v="148207.24800000002"/>
        <n v="148063.27200000003"/>
        <n v="147343.32000000004"/>
        <n v="145663.34399999998"/>
        <n v="145123.38"/>
        <n v="144043.416"/>
        <n v="140803.45200000002"/>
        <n v="136603.51200000002"/>
        <n v="133243.55999999997"/>
        <n v="132163.57199999996"/>
        <n v="131803.59599999996"/>
        <n v="131479.63199999995"/>
        <n v="131119.65599999996"/>
        <n v="129439.67999999996"/>
        <n v="125239.73999999996"/>
        <n v="124915.77599999995"/>
        <n v="123415.83599999995"/>
        <n v="122335.87199999997"/>
        <n v="122011.90799999997"/>
        <n v="121651.93199999997"/>
        <n v="121351.94399999996"/>
        <n v="120811.97999999995"/>
        <n v="120452.03999999995"/>
        <n v="119252.08799999996"/>
        <n v="118352.14799999996"/>
        <n v="118136.18399999995"/>
        <n v="117236.24399999995"/>
        <n v="115556.26799999995"/>
        <n v="114596.31599999993"/>
        <n v="114524.32799999995"/>
        <n v="112004.36399999994"/>
        <n v="110504.42399999994"/>
        <n v="110144.44799999995"/>
        <n v="109064.48399999994"/>
        <n v="107564.54399999997"/>
        <n v="107204.56799999997"/>
        <n v="103004.62799999997"/>
        <n v="101804.67599999998"/>
        <n v="98444.723999999958"/>
        <n v="97844.747999999963"/>
        <n v="97628.783999999956"/>
        <n v="97244.831999999966"/>
        <n v="96956.867999999959"/>
        <n v="94796.891999999963"/>
        <n v="94616.90399999998"/>
        <n v="93896.927999999985"/>
        <n v="93752.951999999961"/>
        <n v="93644.963999999978"/>
        <n v="88245.024000000005"/>
        <n v="87885.047999999981"/>
        <n v="87525.071999999986"/>
        <n v="86985.107999999978"/>
        <n v="86265.131999999983"/>
        <n v="85545.155999999988"/>
        <n v="84585.203999999969"/>
        <n v="84477.215999999986"/>
        <n v="83577.276000000013"/>
        <n v="82497.288"/>
        <n v="82281.312000000005"/>
        <n v="81201.323999999993"/>
        <n v="80301.383999999991"/>
        <n v="79221.419999999984"/>
        <n v="76701.456000000006"/>
        <n v="75501.515999999974"/>
        <n v="74001.575999999972"/>
        <n v="73281.623999999982"/>
        <n v="70761.66"/>
        <n v="70665.671999999991"/>
        <n v="70305.684000000008"/>
        <n v="69105.731999999989"/>
        <n v="68745.756000000023"/>
        <n v="67665.792000000016"/>
        <n v="66705.840000000026"/>
        <n v="64905.900000000016"/>
        <n v="64365.936000000009"/>
        <n v="64005.996000000006"/>
        <n v="63718.044000000009"/>
        <n v="62518.092000000011"/>
        <n v="58198.14"/>
        <n v="57118.175999999999"/>
        <n v="55438.2"/>
        <n v="52078.248"/>
        <n v="51862.272000000004"/>
        <n v="51538.308000000005"/>
        <n v="51466.320000000007"/>
        <n v="50926.355999999992"/>
        <n v="49126.415999999997"/>
        <n v="48766.475999999995"/>
        <n v="48478.511999999995"/>
        <n v="47758.547999999995"/>
        <n v="47542.572"/>
        <n v="47182.595999999998"/>
        <n v="42982.656000000003"/>
        <n v="42442.69200000001"/>
        <n v="39202.727999999996"/>
        <n v="38482.763999999996"/>
        <n v="36682.824000000001"/>
        <n v="35842.836000000003"/>
        <n v="35002.847999999998"/>
        <n v="34282.896000000001"/>
        <n v="33742.956000000006"/>
        <n v="33262.980000000003"/>
        <n v="32975.027999999998"/>
        <n v="32255.051999999996"/>
        <n v="31895.075999999997"/>
        <n v="27695.135999999999"/>
        <n v="27335.196"/>
        <n v="27119.219999999998"/>
        <n v="25619.279999999995"/>
        <n v="25259.303999999996"/>
        <n v="19859.363999999998"/>
        <n v="19139.411999999997"/>
        <n v="18839.423999999995"/>
        <n v="18695.447999999997"/>
        <n v="18335.471999999998"/>
        <n v="15095.508"/>
        <n v="11855.544"/>
        <n v="10775.58"/>
        <n v="10055.627999999999"/>
        <n v="9671.6760000000013"/>
        <n v="9131.735999999999"/>
        <n v="8591.771999999999"/>
        <n v="8375.7959999999985"/>
        <n v="6695.8199999999988"/>
        <n v="3455.8559999999998"/>
        <n v="3167.8919999999998"/>
        <n v="3059.904"/>
        <n v="539.93999999999994"/>
        <n v="323.96399999999994"/>
      </sharedItems>
    </cacheField>
    <cacheField name="Discount Sale" numFmtId="0">
      <sharedItems containsSemiMixedTypes="0" containsString="0" containsNumber="1" minValue="242.97300000000001" maxValue="206030.24999999985"/>
    </cacheField>
    <cacheField name="Festival sale" numFmtId="0">
      <sharedItems containsSemiMixedTypes="0" containsString="0" containsNumber="1" minValue="294.94222499999995" maxValue="250097.83125000037"/>
    </cacheField>
    <cacheField name="Months (Date)" numFmtId="0" databaseField="0">
      <fieldGroup base="1">
        <rangePr groupBy="months" startDate="2024-04-11T00:00:00" endDate="2025-04-12T00:00:00"/>
        <groupItems count="14">
          <s v="&lt;11-04-2024"/>
          <s v="Jan"/>
          <s v="Feb"/>
          <s v="Mar"/>
          <s v="Apr"/>
          <s v="May"/>
          <s v="Jun"/>
          <s v="Jul"/>
          <s v="Aug"/>
          <s v="Sep"/>
          <s v="Oct"/>
          <s v="Nov"/>
          <s v="Dec"/>
          <s v="&gt;12-04-2025"/>
        </groupItems>
      </fieldGroup>
    </cacheField>
    <cacheField name="Quarters (Date)" numFmtId="0" databaseField="0">
      <fieldGroup base="1">
        <rangePr groupBy="quarters" startDate="2024-04-11T00:00:00" endDate="2025-04-12T00:00:00"/>
        <groupItems count="6">
          <s v="&lt;11-04-2024"/>
          <s v="Qtr1"/>
          <s v="Qtr2"/>
          <s v="Qtr3"/>
          <s v="Qtr4"/>
          <s v="&gt;12-04-2025"/>
        </groupItems>
      </fieldGroup>
    </cacheField>
    <cacheField name="Years (Date)" numFmtId="0" databaseField="0">
      <fieldGroup base="1">
        <rangePr groupBy="years" startDate="2024-04-11T00:00:00" endDate="2025-04-12T00:00:00"/>
        <groupItems count="4">
          <s v="&lt;11-04-2024"/>
          <s v="2024"/>
          <s v="2025"/>
          <s v="&gt;12-04-2025"/>
        </groupItems>
      </fieldGroup>
    </cacheField>
  </cacheFields>
  <extLst>
    <ext xmlns:x14="http://schemas.microsoft.com/office/spreadsheetml/2009/9/main" uri="{725AE2AE-9491-48be-B2B4-4EB974FC3084}">
      <x14:pivotCacheDefinition pivotCacheId="18344683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d v="2024-04-11T00:00:00"/>
    <s v="CUST023"/>
    <s v="Paul Baker"/>
    <s v="P009"/>
    <s v="Monitor"/>
    <s v="Electronics"/>
    <n v="3"/>
    <n v="249.99"/>
    <s v="Cash"/>
    <x v="0"/>
    <s v="Basic"/>
    <d v="2021-08-17T00:00:00"/>
    <n v="749.97"/>
    <d v="2026-03-03T17:55:01"/>
    <d v="2026-03-03T17:55:01"/>
    <n v="228922.50000000032"/>
    <n v="3.5999999999999996"/>
    <n v="899.96399999999994"/>
    <n v="274707"/>
    <n v="206030.24999999985"/>
    <n v="250097.83125000037"/>
  </r>
  <r>
    <s v="TRX0023"/>
    <d v="2024-04-14T00:00:00"/>
    <s v="CUST013"/>
    <s v="Joseph Jackson"/>
    <s v="P009"/>
    <s v="Monitor"/>
    <s v="Electronics"/>
    <n v="3"/>
    <n v="249.99"/>
    <s v="Credit Card"/>
    <x v="0"/>
    <s v="Premium"/>
    <d v="2022-01-14T00:00:00"/>
    <n v="749.97"/>
    <d v="2026-03-03T17:55:01"/>
    <d v="2026-03-03T17:55:01"/>
    <n v="228442.50000000029"/>
    <n v="3.5999999999999996"/>
    <n v="899.96399999999994"/>
    <n v="274131"/>
    <n v="205598.24999999985"/>
    <n v="249573.43125000037"/>
  </r>
  <r>
    <s v="TRX0139"/>
    <d v="2024-04-17T00:00:00"/>
    <s v="CUST021"/>
    <s v="Kevin Scott"/>
    <s v="P005"/>
    <s v="Blender"/>
    <s v="Appliances"/>
    <n v="3"/>
    <n v="59.99"/>
    <s v="PayPal"/>
    <x v="1"/>
    <s v="Standard"/>
    <d v="2023-12-02T00:00:00"/>
    <n v="179.97"/>
    <d v="2026-03-03T17:55:01"/>
    <d v="2026-03-03T17:55:01"/>
    <n v="227692.53000000029"/>
    <n v="3.5999999999999996"/>
    <n v="215.964"/>
    <n v="273231.03600000002"/>
    <n v="204923.27699999986"/>
    <n v="248754.08902500034"/>
  </r>
  <r>
    <s v="TRX0043"/>
    <d v="2024-04-18T00:00:00"/>
    <s v="CUST046"/>
    <s v="Kathleen Bennett"/>
    <s v="P005"/>
    <s v="Blender"/>
    <s v="Appliances"/>
    <n v="3"/>
    <n v="59.99"/>
    <s v="Cash"/>
    <x v="2"/>
    <s v="Premium"/>
    <d v="2023-07-07T00:00:00"/>
    <n v="179.97"/>
    <d v="2026-03-03T17:55:01"/>
    <d v="2026-03-03T17:55:01"/>
    <n v="227512.56000000032"/>
    <n v="3.5999999999999996"/>
    <n v="215.964"/>
    <n v="273015.07200000004"/>
    <n v="204761.30399999983"/>
    <n v="248557.47180000035"/>
  </r>
  <r>
    <s v="TRX0212"/>
    <d v="2024-04-18T00:00:00"/>
    <s v="CUST003"/>
    <s v="Michael Brown"/>
    <s v="P008"/>
    <s v="Bookshelf"/>
    <s v="Furniture"/>
    <n v="5"/>
    <n v="149.99"/>
    <s v="Credit Card"/>
    <x v="2"/>
    <s v="Premium"/>
    <d v="2024-01-04T00:00:00"/>
    <n v="749.95"/>
    <d v="2026-03-03T17:55:01"/>
    <d v="2026-03-03T17:55:01"/>
    <n v="227332.59000000032"/>
    <n v="6"/>
    <n v="899.94"/>
    <n v="272799.10800000007"/>
    <n v="204599.33099999983"/>
    <n v="248360.85457500035"/>
  </r>
  <r>
    <s v="TRX0092"/>
    <d v="2024-04-21T00:00:00"/>
    <s v="CUST024"/>
    <s v="Dorothy Nelson"/>
    <s v="P005"/>
    <s v="Blender"/>
    <s v="Appliances"/>
    <n v="2"/>
    <n v="59.99"/>
    <s v="Cash"/>
    <x v="3"/>
    <s v="Standard"/>
    <d v="2022-07-04T00:00:00"/>
    <n v="119.98"/>
    <d v="2026-03-03T17:55:01"/>
    <d v="2026-03-03T17:55:01"/>
    <n v="226582.64000000031"/>
    <n v="2.4"/>
    <n v="143.976"/>
    <n v="271899.16800000006"/>
    <n v="203924.37599999987"/>
    <n v="247541.53420000034"/>
  </r>
  <r>
    <s v="TRX0193"/>
    <d v="2024-04-21T00:00:00"/>
    <s v="CUST024"/>
    <s v="Dorothy Nelson"/>
    <s v="P003"/>
    <s v="Headphones"/>
    <s v="Electronics"/>
    <n v="5"/>
    <n v="149.99"/>
    <s v="Credit Card"/>
    <x v="0"/>
    <s v="Standard"/>
    <d v="2021-08-10T00:00:00"/>
    <n v="749.95"/>
    <d v="2026-03-03T17:55:01"/>
    <d v="2026-03-03T17:55:01"/>
    <n v="226462.66000000032"/>
    <n v="6"/>
    <n v="899.94"/>
    <n v="271755.19199999998"/>
    <n v="203816.39399999988"/>
    <n v="247410.45605000036"/>
  </r>
  <r>
    <s v="TRX0240"/>
    <d v="2024-04-21T00:00:00"/>
    <s v="CUST017"/>
    <s v="Charles Allen"/>
    <s v="P005"/>
    <s v="Blender"/>
    <s v="Appliances"/>
    <n v="3"/>
    <n v="59.99"/>
    <s v="Debit Card"/>
    <x v="1"/>
    <s v="Basic"/>
    <d v="2023-03-22T00:00:00"/>
    <n v="179.97"/>
    <d v="2026-03-03T17:55:01"/>
    <d v="2026-03-03T17:55:01"/>
    <n v="225712.71000000031"/>
    <n v="3.5999999999999996"/>
    <n v="215.964"/>
    <n v="270855.25200000004"/>
    <n v="203141.43899999987"/>
    <n v="246591.13567500035"/>
  </r>
  <r>
    <s v="TRX0135"/>
    <d v="2024-04-23T00:00:00"/>
    <s v="CUST009"/>
    <s v="Robert Thomas"/>
    <s v="P001"/>
    <s v="Laptop"/>
    <s v="Electronics"/>
    <n v="3"/>
    <n v="899.99"/>
    <s v="PayPal"/>
    <x v="4"/>
    <s v="Standard"/>
    <d v="2024-01-08T00:00:00"/>
    <n v="2699.97"/>
    <d v="2026-03-03T17:55:01"/>
    <d v="2026-03-03T17:55:01"/>
    <n v="225532.74000000031"/>
    <n v="3.5999999999999996"/>
    <n v="3239.9639999999995"/>
    <n v="270639.288"/>
    <n v="202979.46599999987"/>
    <n v="246394.51845000035"/>
  </r>
  <r>
    <s v="TRX0185"/>
    <d v="2024-04-26T00:00:00"/>
    <s v="CUST026"/>
    <s v="Karen Hill"/>
    <s v="P005"/>
    <s v="Blender"/>
    <s v="Appliances"/>
    <n v="3"/>
    <n v="59.99"/>
    <s v="Cash"/>
    <x v="3"/>
    <s v="Premium"/>
    <d v="2023-10-08T00:00:00"/>
    <n v="179.97"/>
    <d v="2026-03-03T17:55:01"/>
    <d v="2026-03-03T17:55:01"/>
    <n v="222832.77000000031"/>
    <n v="3.5999999999999996"/>
    <n v="215.964"/>
    <n v="267399.32400000002"/>
    <n v="200549.49299999984"/>
    <n v="243444.80122500032"/>
  </r>
  <r>
    <s v="TRX0138"/>
    <d v="2024-04-26T00:00:00"/>
    <s v="CUST022"/>
    <s v="Susan Green"/>
    <s v="P008"/>
    <s v="Bookshelf"/>
    <s v="Furniture"/>
    <n v="1"/>
    <n v="149.99"/>
    <s v="Credit Card"/>
    <x v="3"/>
    <s v="Standard"/>
    <d v="2023-06-26T00:00:00"/>
    <n v="149.99"/>
    <d v="2026-03-03T17:55:01"/>
    <d v="2026-03-03T17:55:01"/>
    <n v="222652.80000000031"/>
    <n v="1.2"/>
    <n v="179.988"/>
    <n v="267183.36000000004"/>
    <n v="200387.51999999984"/>
    <n v="243248.18400000033"/>
  </r>
  <r>
    <s v="TRX0209"/>
    <d v="2024-04-26T00:00:00"/>
    <s v="CUST046"/>
    <s v="Kathleen Bennett"/>
    <s v="P008"/>
    <s v="Bookshelf"/>
    <s v="Furniture"/>
    <n v="5"/>
    <n v="149.99"/>
    <s v="Debit Card"/>
    <x v="2"/>
    <s v="Basic"/>
    <d v="2022-09-26T00:00:00"/>
    <n v="749.95"/>
    <d v="2026-03-03T17:55:01"/>
    <d v="2026-03-03T17:55:01"/>
    <n v="222502.81000000032"/>
    <n v="6"/>
    <n v="899.94"/>
    <n v="267003.37200000003"/>
    <n v="200252.52899999986"/>
    <n v="243084.31992500031"/>
  </r>
  <r>
    <s v="TRX0246"/>
    <d v="2024-04-26T00:00:00"/>
    <s v="CUST041"/>
    <s v="Peter Richardson"/>
    <s v="P008"/>
    <s v="Bookshelf"/>
    <s v="Furniture"/>
    <n v="3"/>
    <n v="149.99"/>
    <s v="Cash"/>
    <x v="2"/>
    <s v="Premium"/>
    <d v="2022-09-02T00:00:00"/>
    <n v="449.97"/>
    <d v="2026-03-03T17:55:01"/>
    <d v="2026-03-03T17:55:01"/>
    <n v="221752.86000000031"/>
    <n v="3.5999999999999996"/>
    <n v="539.96399999999994"/>
    <n v="266103.43200000003"/>
    <n v="199577.57399999988"/>
    <n v="242264.99955000033"/>
  </r>
  <r>
    <s v="TRX0067"/>
    <d v="2024-04-27T00:00:00"/>
    <s v="CUST043"/>
    <s v="Dennis Gray"/>
    <s v="P005"/>
    <s v="Blender"/>
    <s v="Appliances"/>
    <n v="3"/>
    <n v="59.99"/>
    <s v="Credit Card"/>
    <x v="2"/>
    <s v="Standard"/>
    <d v="2024-02-29T00:00:00"/>
    <n v="179.97"/>
    <d v="2026-03-03T17:55:01"/>
    <d v="2026-03-03T17:55:01"/>
    <n v="221302.89000000031"/>
    <n v="3.5999999999999996"/>
    <n v="215.964"/>
    <n v="265563.46800000005"/>
    <n v="199172.60099999985"/>
    <n v="241773.40732500033"/>
  </r>
  <r>
    <s v="TRX0191"/>
    <d v="2024-04-27T00:00:00"/>
    <s v="CUST038"/>
    <s v="Michelle Rogers"/>
    <s v="P002"/>
    <s v="Smartphone"/>
    <s v="Electronics"/>
    <n v="3"/>
    <n v="699.99"/>
    <s v="Credit Card"/>
    <x v="3"/>
    <s v="Basic"/>
    <d v="2022-01-16T00:00:00"/>
    <n v="2099.9699999999998"/>
    <d v="2026-03-03T17:55:01"/>
    <d v="2026-03-03T17:55:01"/>
    <n v="221122.9200000003"/>
    <n v="3.5999999999999996"/>
    <n v="2519.9639999999999"/>
    <n v="265347.50400000007"/>
    <n v="199010.62799999985"/>
    <n v="241576.79010000033"/>
  </r>
  <r>
    <s v="TRX0230"/>
    <d v="2024-04-27T00:00:00"/>
    <s v="CUST027"/>
    <s v="George Adams"/>
    <s v="P001"/>
    <s v="Laptop"/>
    <s v="Electronics"/>
    <n v="1"/>
    <n v="899.99"/>
    <s v="Debit Card"/>
    <x v="2"/>
    <s v="Standard"/>
    <d v="2022-12-25T00:00:00"/>
    <n v="899.99"/>
    <d v="2026-03-03T17:55:01"/>
    <d v="2026-03-03T17:55:01"/>
    <n v="219022.95000000027"/>
    <n v="1.2"/>
    <n v="1079.9880000000001"/>
    <n v="262827.54000000004"/>
    <n v="197120.65499999988"/>
    <n v="239282.5728750003"/>
  </r>
  <r>
    <s v="TRX0049"/>
    <d v="2024-04-28T00:00:00"/>
    <s v="CUST025"/>
    <s v="Mark Carter"/>
    <s v="P008"/>
    <s v="Bookshelf"/>
    <s v="Furniture"/>
    <n v="4"/>
    <n v="149.99"/>
    <s v="Debit Card"/>
    <x v="2"/>
    <s v="Premium"/>
    <d v="2024-03-23T00:00:00"/>
    <n v="599.96"/>
    <d v="2026-03-03T17:55:01"/>
    <d v="2026-03-03T17:55:01"/>
    <n v="218122.96000000028"/>
    <n v="4.8"/>
    <n v="719.952"/>
    <n v="261747.55200000005"/>
    <n v="196310.6639999999"/>
    <n v="238299.33380000028"/>
  </r>
  <r>
    <s v="TRX0134"/>
    <d v="2024-04-28T00:00:00"/>
    <s v="CUST010"/>
    <s v="Maria Garcia"/>
    <s v="P002"/>
    <s v="Smartphone"/>
    <s v="Electronics"/>
    <n v="2"/>
    <n v="699.99"/>
    <s v="Cash"/>
    <x v="2"/>
    <s v="Basic"/>
    <d v="2022-08-08T00:00:00"/>
    <n v="1399.98"/>
    <d v="2026-03-03T17:55:01"/>
    <d v="2026-03-03T17:55:01"/>
    <n v="217523.00000000029"/>
    <n v="2.4"/>
    <n v="1679.9759999999999"/>
    <n v="261027.60000000006"/>
    <n v="195770.6999999999"/>
    <n v="237643.87750000026"/>
  </r>
  <r>
    <s v="TRX0122"/>
    <d v="2024-04-28T00:00:00"/>
    <s v="CUST025"/>
    <s v="Mark Carter"/>
    <s v="P001"/>
    <s v="Laptop"/>
    <s v="Electronics"/>
    <n v="4"/>
    <n v="899.99"/>
    <s v="Credit Card"/>
    <x v="3"/>
    <s v="Standard"/>
    <d v="2024-02-05T00:00:00"/>
    <n v="3599.96"/>
    <d v="2026-03-03T17:55:01"/>
    <d v="2026-03-03T17:55:01"/>
    <n v="216123.02000000028"/>
    <n v="4.8"/>
    <n v="4319.9520000000002"/>
    <n v="259347.62400000007"/>
    <n v="194510.71799999991"/>
    <n v="236114.39935000025"/>
  </r>
  <r>
    <s v="TRX0222"/>
    <d v="2024-04-28T00:00:00"/>
    <s v="CUST048"/>
    <s v="Virginia Sanders"/>
    <s v="P009"/>
    <s v="Monitor"/>
    <s v="Electronics"/>
    <n v="3"/>
    <n v="249.99"/>
    <s v="Credit Card"/>
    <x v="2"/>
    <s v="Premium"/>
    <d v="2023-10-25T00:00:00"/>
    <n v="749.97"/>
    <d v="2026-03-03T17:55:01"/>
    <d v="2026-03-03T17:55:01"/>
    <n v="212523.06000000029"/>
    <n v="3.5999999999999996"/>
    <n v="899.96399999999994"/>
    <n v="255027.67200000008"/>
    <n v="191270.75399999993"/>
    <n v="232181.44305000026"/>
  </r>
  <r>
    <s v="TRX0231"/>
    <d v="2024-04-30T00:00:00"/>
    <s v="CUST018"/>
    <s v="Barbara Young"/>
    <s v="P002"/>
    <s v="Smartphone"/>
    <s v="Electronics"/>
    <n v="5"/>
    <n v="699.99"/>
    <s v="Cash"/>
    <x v="3"/>
    <s v="Basic"/>
    <d v="2023-08-29T00:00:00"/>
    <n v="3499.95"/>
    <d v="2026-03-03T17:55:01"/>
    <d v="2026-03-03T17:55:01"/>
    <n v="211773.09000000029"/>
    <n v="6"/>
    <n v="4199.9400000000005"/>
    <n v="254127.7080000001"/>
    <n v="190595.7809999999"/>
    <n v="231362.10082500023"/>
  </r>
  <r>
    <s v="TRX0239"/>
    <d v="2024-05-01T00:00:00"/>
    <s v="CUST012"/>
    <s v="Patricia Moore"/>
    <s v="P002"/>
    <s v="Smartphone"/>
    <s v="Electronics"/>
    <n v="4"/>
    <n v="699.99"/>
    <s v="Cash"/>
    <x v="4"/>
    <s v="Standard"/>
    <d v="2021-08-01T00:00:00"/>
    <n v="2799.96"/>
    <d v="2026-03-03T17:55:01"/>
    <d v="2026-03-03T17:55:01"/>
    <n v="208273.14000000028"/>
    <n v="4.8"/>
    <n v="3359.9519999999998"/>
    <n v="249927.76800000007"/>
    <n v="187445.82599999991"/>
    <n v="227538.40545000019"/>
  </r>
  <r>
    <s v="TRX0204"/>
    <d v="2024-05-03T00:00:00"/>
    <s v="CUST044"/>
    <s v="Cynthia Price"/>
    <s v="P009"/>
    <s v="Monitor"/>
    <s v="Electronics"/>
    <n v="4"/>
    <n v="249.99"/>
    <s v="PayPal"/>
    <x v="2"/>
    <s v="Standard"/>
    <d v="2021-09-29T00:00:00"/>
    <n v="999.96"/>
    <d v="2026-03-03T17:55:01"/>
    <d v="2026-03-03T17:55:01"/>
    <n v="205473.18000000028"/>
    <n v="4.8"/>
    <n v="1199.952"/>
    <n v="246567.81600000011"/>
    <n v="184925.86199999994"/>
    <n v="224479.4491500002"/>
  </r>
  <r>
    <s v="TRX0242"/>
    <d v="2024-05-04T00:00:00"/>
    <s v="CUST025"/>
    <s v="Mark Carter"/>
    <s v="P007"/>
    <s v="Desk"/>
    <s v="Furniture"/>
    <n v="4"/>
    <n v="299.99"/>
    <s v="Cash"/>
    <x v="3"/>
    <s v="Premium"/>
    <d v="2022-06-04T00:00:00"/>
    <n v="1199.96"/>
    <d v="2026-03-03T17:55:01"/>
    <d v="2026-03-03T17:55:01"/>
    <n v="204473.22000000026"/>
    <n v="4.8"/>
    <n v="1439.952"/>
    <n v="245367.86400000006"/>
    <n v="184025.8979999999"/>
    <n v="223386.99285000021"/>
  </r>
  <r>
    <s v="TRX0071"/>
    <d v="2024-05-10T00:00:00"/>
    <s v="CUST036"/>
    <s v="Nancy Collins"/>
    <s v="P009"/>
    <s v="Monitor"/>
    <s v="Electronics"/>
    <n v="5"/>
    <n v="249.99"/>
    <s v="Credit Card"/>
    <x v="3"/>
    <s v="Standard"/>
    <d v="2021-11-25T00:00:00"/>
    <n v="1249.95"/>
    <d v="2026-03-03T17:55:01"/>
    <d v="2026-03-03T17:55:01"/>
    <n v="203273.26000000024"/>
    <n v="6"/>
    <n v="1499.94"/>
    <n v="243927.91200000007"/>
    <n v="182945.93399999989"/>
    <n v="222076.03655000022"/>
  </r>
  <r>
    <s v="TRX0040"/>
    <d v="2024-05-12T00:00:00"/>
    <s v="CUST022"/>
    <s v="Susan Green"/>
    <s v="P007"/>
    <s v="Desk"/>
    <s v="Furniture"/>
    <n v="5"/>
    <n v="299.99"/>
    <s v="PayPal"/>
    <x v="4"/>
    <s v="Basic"/>
    <d v="2023-08-30T00:00:00"/>
    <n v="1499.95"/>
    <d v="2026-03-03T17:55:01"/>
    <d v="2026-03-03T17:55:01"/>
    <n v="202023.31000000023"/>
    <n v="6"/>
    <n v="1799.94"/>
    <n v="242427.97200000007"/>
    <n v="181820.9789999999"/>
    <n v="220710.46617500024"/>
  </r>
  <r>
    <s v="TRX0235"/>
    <d v="2024-05-12T00:00:00"/>
    <s v="CUST014"/>
    <s v="Linda Martin"/>
    <s v="P004"/>
    <s v="Coffee Maker"/>
    <s v="Appliances"/>
    <n v="3"/>
    <n v="79.989999999999995"/>
    <s v="PayPal"/>
    <x v="4"/>
    <s v="Premium"/>
    <d v="2023-03-27T00:00:00"/>
    <n v="239.97"/>
    <d v="2026-03-03T17:55:01"/>
    <d v="2026-03-03T17:55:01"/>
    <n v="200523.36000000022"/>
    <n v="3.5999999999999996"/>
    <n v="287.96399999999994"/>
    <n v="240628.03200000006"/>
    <n v="180471.02399999992"/>
    <n v="219071.7708000002"/>
  </r>
  <r>
    <s v="TRX0004"/>
    <d v="2024-05-12T00:00:00"/>
    <s v="CUST012"/>
    <s v="Patricia Moore"/>
    <s v="P010"/>
    <s v="Keyboard"/>
    <s v="Electronics"/>
    <n v="5"/>
    <n v="89.99"/>
    <s v="Cash"/>
    <x v="2"/>
    <s v="Premium"/>
    <d v="2022-12-24T00:00:00"/>
    <n v="449.95"/>
    <d v="2026-03-03T17:55:01"/>
    <d v="2026-03-03T17:55:01"/>
    <n v="200283.39000000022"/>
    <n v="6"/>
    <n v="539.93999999999994"/>
    <n v="240340.06800000009"/>
    <n v="180255.05099999992"/>
    <n v="218809.60357500022"/>
  </r>
  <r>
    <s v="TRX0063"/>
    <d v="2024-05-13T00:00:00"/>
    <s v="CUST030"/>
    <s v="Helen Roberts"/>
    <s v="P005"/>
    <s v="Blender"/>
    <s v="Appliances"/>
    <n v="2"/>
    <n v="59.99"/>
    <s v="Debit Card"/>
    <x v="0"/>
    <s v="Standard"/>
    <d v="2023-10-15T00:00:00"/>
    <n v="119.98"/>
    <d v="2026-03-03T17:55:01"/>
    <d v="2026-03-03T17:55:01"/>
    <n v="199833.44000000024"/>
    <n v="2.4"/>
    <n v="143.976"/>
    <n v="239800.12800000008"/>
    <n v="179850.0959999999"/>
    <n v="218318.03320000021"/>
  </r>
  <r>
    <s v="TRX0241"/>
    <d v="2024-05-15T00:00:00"/>
    <s v="CUST029"/>
    <s v="Edward Mitchell"/>
    <s v="P005"/>
    <s v="Blender"/>
    <s v="Appliances"/>
    <n v="4"/>
    <n v="59.99"/>
    <s v="Debit Card"/>
    <x v="4"/>
    <s v="Standard"/>
    <d v="2022-11-02T00:00:00"/>
    <n v="239.96"/>
    <d v="2026-03-03T17:55:01"/>
    <d v="2026-03-03T17:55:01"/>
    <n v="199713.46000000022"/>
    <n v="4.8"/>
    <n v="287.952"/>
    <n v="239656.15200000009"/>
    <n v="179742.11399999994"/>
    <n v="218186.95505000022"/>
  </r>
  <r>
    <s v="TRX0029"/>
    <d v="2024-05-15T00:00:00"/>
    <s v="CUST017"/>
    <s v="Charles Allen"/>
    <s v="P006"/>
    <s v="Office Chair"/>
    <s v="Furniture"/>
    <n v="5"/>
    <n v="199.99"/>
    <s v="Cash"/>
    <x v="1"/>
    <s v="Standard"/>
    <d v="2021-08-04T00:00:00"/>
    <n v="999.95"/>
    <d v="2026-03-03T17:55:01"/>
    <d v="2026-03-03T17:55:01"/>
    <n v="199473.50000000023"/>
    <n v="6"/>
    <n v="1199.94"/>
    <n v="239368.20000000007"/>
    <n v="179526.14999999994"/>
    <n v="217924.79875000019"/>
  </r>
  <r>
    <s v="TRX0194"/>
    <d v="2024-05-16T00:00:00"/>
    <s v="CUST006"/>
    <s v="Lisa Anderson"/>
    <s v="P008"/>
    <s v="Bookshelf"/>
    <s v="Furniture"/>
    <n v="2"/>
    <n v="149.99"/>
    <s v="Credit Card"/>
    <x v="3"/>
    <s v="Basic"/>
    <d v="2022-09-19T00:00:00"/>
    <n v="299.98"/>
    <d v="2026-03-03T17:55:01"/>
    <d v="2026-03-03T17:55:01"/>
    <n v="198473.55000000025"/>
    <n v="2.4"/>
    <n v="359.976"/>
    <n v="238168.2600000001"/>
    <n v="178626.19499999995"/>
    <n v="216832.35337500021"/>
  </r>
  <r>
    <s v="TRX0130"/>
    <d v="2024-05-18T00:00:00"/>
    <s v="CUST002"/>
    <s v="Emma Wilson"/>
    <s v="P008"/>
    <s v="Bookshelf"/>
    <s v="Furniture"/>
    <n v="3"/>
    <n v="149.99"/>
    <s v="Credit Card"/>
    <x v="3"/>
    <s v="Premium"/>
    <d v="2023-05-22T00:00:00"/>
    <n v="449.97"/>
    <d v="2026-03-03T17:55:01"/>
    <d v="2026-03-03T17:55:01"/>
    <n v="198173.57000000024"/>
    <n v="3.5999999999999996"/>
    <n v="539.96399999999994"/>
    <n v="237808.28400000007"/>
    <n v="178356.21299999993"/>
    <n v="216504.6252250002"/>
  </r>
  <r>
    <s v="TRX0041"/>
    <d v="2024-05-20T00:00:00"/>
    <s v="CUST021"/>
    <s v="Kevin Scott"/>
    <s v="P001"/>
    <s v="Laptop"/>
    <s v="Electronics"/>
    <n v="1"/>
    <n v="899.99"/>
    <s v="Credit Card"/>
    <x v="3"/>
    <s v="Premium"/>
    <d v="2022-01-17T00:00:00"/>
    <n v="899.99"/>
    <d v="2026-03-03T17:55:01"/>
    <d v="2026-03-03T17:55:01"/>
    <n v="197723.60000000024"/>
    <n v="1.2"/>
    <n v="1079.9880000000001"/>
    <n v="237268.32000000009"/>
    <n v="177951.23999999993"/>
    <n v="216013.0330000002"/>
  </r>
  <r>
    <s v="TRX0232"/>
    <d v="2024-05-22T00:00:00"/>
    <s v="CUST012"/>
    <s v="Patricia Moore"/>
    <s v="P007"/>
    <s v="Desk"/>
    <s v="Furniture"/>
    <n v="3"/>
    <n v="299.99"/>
    <s v="Credit Card"/>
    <x v="4"/>
    <s v="Basic"/>
    <d v="2022-09-20T00:00:00"/>
    <n v="899.97"/>
    <d v="2026-03-03T17:55:01"/>
    <d v="2026-03-03T17:55:01"/>
    <n v="196823.61000000022"/>
    <n v="3.5999999999999996"/>
    <n v="1079.9639999999999"/>
    <n v="236188.33200000008"/>
    <n v="177141.24899999995"/>
    <n v="215029.79392500021"/>
  </r>
  <r>
    <s v="TRX0021"/>
    <d v="2024-05-23T00:00:00"/>
    <s v="CUST006"/>
    <s v="Lisa Anderson"/>
    <s v="P004"/>
    <s v="Coffee Maker"/>
    <s v="Appliances"/>
    <n v="3"/>
    <n v="79.989999999999995"/>
    <s v="Cash"/>
    <x v="1"/>
    <s v="Basic"/>
    <d v="2023-04-30T00:00:00"/>
    <n v="239.97"/>
    <d v="2026-03-03T17:55:01"/>
    <d v="2026-03-03T17:55:01"/>
    <n v="195923.64000000022"/>
    <n v="3.5999999999999996"/>
    <n v="287.96399999999994"/>
    <n v="235108.36800000007"/>
    <n v="176331.27599999993"/>
    <n v="214046.57670000021"/>
  </r>
  <r>
    <s v="TRX0245"/>
    <d v="2024-05-26T00:00:00"/>
    <s v="CUST031"/>
    <s v="Steven Turner"/>
    <s v="P006"/>
    <s v="Office Chair"/>
    <s v="Furniture"/>
    <n v="3"/>
    <n v="199.99"/>
    <s v="Credit Card"/>
    <x v="2"/>
    <s v="Premium"/>
    <d v="2024-01-01T00:00:00"/>
    <n v="599.97"/>
    <d v="2026-03-03T17:55:01"/>
    <d v="2026-03-03T17:55:01"/>
    <n v="195683.67000000022"/>
    <n v="3.5999999999999996"/>
    <n v="719.96399999999994"/>
    <n v="234820.40400000007"/>
    <n v="176115.30299999993"/>
    <n v="213784.4094750002"/>
  </r>
  <r>
    <s v="TRX0015"/>
    <d v="2024-05-28T00:00:00"/>
    <s v="CUST008"/>
    <s v="Jennifer Taylor"/>
    <s v="P002"/>
    <s v="Smartphone"/>
    <s v="Electronics"/>
    <n v="5"/>
    <n v="699.99"/>
    <s v="PayPal"/>
    <x v="3"/>
    <s v="Standard"/>
    <d v="2021-07-30T00:00:00"/>
    <n v="3499.95"/>
    <d v="2026-03-03T17:55:01"/>
    <d v="2026-03-03T17:55:01"/>
    <n v="195083.70000000022"/>
    <n v="6"/>
    <n v="4199.9400000000005"/>
    <n v="234100.44000000009"/>
    <n v="175575.32999999993"/>
    <n v="213128.94225000023"/>
  </r>
  <r>
    <s v="TRX0202"/>
    <d v="2024-05-29T00:00:00"/>
    <s v="CUST035"/>
    <s v="Harry Morgan"/>
    <s v="P010"/>
    <s v="Keyboard"/>
    <s v="Electronics"/>
    <n v="3"/>
    <n v="89.99"/>
    <s v="PayPal"/>
    <x v="0"/>
    <s v="Premium"/>
    <d v="2023-07-13T00:00:00"/>
    <n v="269.97000000000003"/>
    <d v="2026-03-03T17:55:01"/>
    <d v="2026-03-03T17:55:01"/>
    <n v="191583.75000000017"/>
    <n v="3.5999999999999996"/>
    <n v="323.96399999999994"/>
    <n v="229900.50000000012"/>
    <n v="172425.37499999991"/>
    <n v="209305.24687500016"/>
  </r>
  <r>
    <s v="TRX0042"/>
    <d v="2024-05-31T00:00:00"/>
    <s v="CUST019"/>
    <s v="Daniel King"/>
    <s v="P004"/>
    <s v="Coffee Maker"/>
    <s v="Appliances"/>
    <n v="1"/>
    <n v="79.989999999999995"/>
    <s v="Cash"/>
    <x v="2"/>
    <s v="Standard"/>
    <d v="2022-12-22T00:00:00"/>
    <n v="79.989999999999995"/>
    <d v="2026-03-03T17:55:01"/>
    <d v="2026-03-03T17:55:01"/>
    <n v="191313.78000000017"/>
    <n v="1.2"/>
    <n v="95.987999999999985"/>
    <n v="229576.53600000014"/>
    <n v="172182.40199999991"/>
    <n v="209010.30465000015"/>
  </r>
  <r>
    <s v="TRX0128"/>
    <d v="2024-06-01T00:00:00"/>
    <s v="CUST040"/>
    <s v="Sharon Butler"/>
    <s v="P005"/>
    <s v="Blender"/>
    <s v="Appliances"/>
    <n v="2"/>
    <n v="59.99"/>
    <s v="Cash"/>
    <x v="3"/>
    <s v="Basic"/>
    <d v="2024-04-08T00:00:00"/>
    <n v="119.98"/>
    <d v="2026-03-03T17:55:01"/>
    <d v="2026-03-03T17:55:01"/>
    <n v="191233.79000000018"/>
    <n v="2.4"/>
    <n v="143.976"/>
    <n v="229480.54800000013"/>
    <n v="172110.41099999993"/>
    <n v="208922.91557500014"/>
  </r>
  <r>
    <s v="TRX0117"/>
    <d v="2024-06-01T00:00:00"/>
    <s v="CUST017"/>
    <s v="Charles Allen"/>
    <s v="P010"/>
    <s v="Keyboard"/>
    <s v="Electronics"/>
    <n v="1"/>
    <n v="89.99"/>
    <s v="Cash"/>
    <x v="2"/>
    <s v="Basic"/>
    <d v="2023-08-03T00:00:00"/>
    <n v="89.99"/>
    <d v="2026-03-03T17:55:01"/>
    <d v="2026-03-03T17:55:01"/>
    <n v="191113.81000000017"/>
    <n v="1.2"/>
    <n v="107.98799999999999"/>
    <n v="229336.57200000013"/>
    <n v="172002.42899999992"/>
    <n v="208791.83742500015"/>
  </r>
  <r>
    <s v="TRX0208"/>
    <d v="2024-06-03T00:00:00"/>
    <s v="CUST004"/>
    <s v="Sarah Davis"/>
    <s v="P010"/>
    <s v="Keyboard"/>
    <s v="Electronics"/>
    <n v="5"/>
    <n v="89.99"/>
    <s v="Credit Card"/>
    <x v="4"/>
    <s v="Standard"/>
    <d v="2022-01-26T00:00:00"/>
    <n v="449.95"/>
    <d v="2026-03-03T17:55:01"/>
    <d v="2026-03-03T17:55:01"/>
    <n v="191023.82000000018"/>
    <n v="6"/>
    <n v="539.93999999999994"/>
    <n v="229228.58400000012"/>
    <n v="171921.43799999994"/>
    <n v="208693.52335000015"/>
  </r>
  <r>
    <s v="TRX0234"/>
    <d v="2024-06-06T00:00:00"/>
    <s v="CUST013"/>
    <s v="Joseph Jackson"/>
    <s v="P009"/>
    <s v="Monitor"/>
    <s v="Electronics"/>
    <n v="5"/>
    <n v="249.99"/>
    <s v="Credit Card"/>
    <x v="4"/>
    <s v="Standard"/>
    <d v="2022-05-26T00:00:00"/>
    <n v="1249.95"/>
    <d v="2026-03-03T17:55:01"/>
    <d v="2026-03-03T17:55:01"/>
    <n v="190573.8700000002"/>
    <n v="6"/>
    <n v="1499.94"/>
    <n v="228688.64400000012"/>
    <n v="171516.48299999992"/>
    <n v="208201.95297500014"/>
  </r>
  <r>
    <s v="TRX0121"/>
    <d v="2024-06-06T00:00:00"/>
    <s v="CUST028"/>
    <s v="Betty Campbell"/>
    <s v="P010"/>
    <s v="Keyboard"/>
    <s v="Electronics"/>
    <n v="1"/>
    <n v="89.99"/>
    <s v="Credit Card"/>
    <x v="1"/>
    <s v="Standard"/>
    <d v="2022-01-21T00:00:00"/>
    <n v="89.99"/>
    <d v="2026-03-03T17:55:01"/>
    <d v="2026-03-03T17:55:01"/>
    <n v="189323.92000000022"/>
    <n v="1.2"/>
    <n v="107.98799999999999"/>
    <n v="227188.70400000011"/>
    <n v="170391.5279999999"/>
    <n v="206836.38260000013"/>
  </r>
  <r>
    <s v="TRX0220"/>
    <d v="2024-06-07T00:00:00"/>
    <s v="CUST003"/>
    <s v="Michael Brown"/>
    <s v="P008"/>
    <s v="Bookshelf"/>
    <s v="Furniture"/>
    <n v="2"/>
    <n v="149.99"/>
    <s v="Cash"/>
    <x v="4"/>
    <s v="Premium"/>
    <d v="2022-03-25T00:00:00"/>
    <n v="299.98"/>
    <d v="2026-03-03T17:55:01"/>
    <d v="2026-03-03T17:55:01"/>
    <n v="189233.93000000023"/>
    <n v="2.4"/>
    <n v="359.976"/>
    <n v="227080.7160000001"/>
    <n v="170310.53699999989"/>
    <n v="206738.06852500013"/>
  </r>
  <r>
    <s v="TRX0093"/>
    <d v="2024-06-09T00:00:00"/>
    <s v="CUST050"/>
    <s v="Julie Foster"/>
    <s v="P005"/>
    <s v="Blender"/>
    <s v="Appliances"/>
    <n v="4"/>
    <n v="59.99"/>
    <s v="Cash"/>
    <x v="4"/>
    <s v="Standard"/>
    <d v="2021-08-27T00:00:00"/>
    <n v="239.96"/>
    <d v="2026-03-03T17:55:01"/>
    <d v="2026-03-03T17:55:01"/>
    <n v="188933.95000000022"/>
    <n v="4.8"/>
    <n v="287.952"/>
    <n v="226720.74000000011"/>
    <n v="170040.55499999991"/>
    <n v="206410.34037500015"/>
  </r>
  <r>
    <s v="TRX0088"/>
    <d v="2024-06-13T00:00:00"/>
    <s v="CUST006"/>
    <s v="Lisa Anderson"/>
    <s v="P010"/>
    <s v="Keyboard"/>
    <s v="Electronics"/>
    <n v="5"/>
    <n v="89.99"/>
    <s v="Cash"/>
    <x v="0"/>
    <s v="Premium"/>
    <d v="2022-01-18T00:00:00"/>
    <n v="449.95"/>
    <d v="2026-03-03T17:55:01"/>
    <d v="2026-03-03T17:55:01"/>
    <n v="188693.99000000022"/>
    <n v="6"/>
    <n v="539.93999999999994"/>
    <n v="226432.78800000012"/>
    <n v="169824.59099999993"/>
    <n v="206148.18407500014"/>
  </r>
  <r>
    <s v="TRX0115"/>
    <d v="2024-06-16T00:00:00"/>
    <s v="CUST012"/>
    <s v="Patricia Moore"/>
    <s v="P010"/>
    <s v="Keyboard"/>
    <s v="Electronics"/>
    <n v="2"/>
    <n v="89.99"/>
    <s v="Credit Card"/>
    <x v="1"/>
    <s v="Premium"/>
    <d v="2021-10-02T00:00:00"/>
    <n v="179.98"/>
    <d v="2026-03-03T17:55:01"/>
    <d v="2026-03-03T17:55:01"/>
    <n v="188244.04000000021"/>
    <n v="2.4"/>
    <n v="215.97599999999997"/>
    <n v="225892.84800000011"/>
    <n v="169419.63599999991"/>
    <n v="205656.61370000013"/>
  </r>
  <r>
    <s v="TRX0154"/>
    <d v="2024-06-16T00:00:00"/>
    <s v="CUST023"/>
    <s v="Paul Baker"/>
    <s v="P001"/>
    <s v="Laptop"/>
    <s v="Electronics"/>
    <n v="5"/>
    <n v="899.99"/>
    <s v="Credit Card"/>
    <x v="1"/>
    <s v="Standard"/>
    <d v="2023-02-17T00:00:00"/>
    <n v="4499.95"/>
    <d v="2026-03-03T17:55:01"/>
    <d v="2026-03-03T17:55:01"/>
    <n v="188064.0600000002"/>
    <n v="6"/>
    <n v="5399.9400000000005"/>
    <n v="225676.87200000012"/>
    <n v="169257.65399999989"/>
    <n v="205459.98555000016"/>
  </r>
  <r>
    <s v="TRX0044"/>
    <d v="2024-06-16T00:00:00"/>
    <s v="CUST029"/>
    <s v="Edward Mitchell"/>
    <s v="P001"/>
    <s v="Laptop"/>
    <s v="Electronics"/>
    <n v="5"/>
    <n v="899.99"/>
    <s v="PayPal"/>
    <x v="4"/>
    <s v="Premium"/>
    <d v="2023-12-18T00:00:00"/>
    <n v="4499.95"/>
    <d v="2026-03-03T17:55:01"/>
    <d v="2026-03-03T17:55:01"/>
    <n v="183564.11000000022"/>
    <n v="6"/>
    <n v="5399.9400000000005"/>
    <n v="220276.93200000006"/>
    <n v="165207.69899999996"/>
    <n v="200543.79017500015"/>
  </r>
  <r>
    <s v="TRX0061"/>
    <d v="2024-06-17T00:00:00"/>
    <s v="CUST028"/>
    <s v="Betty Campbell"/>
    <s v="P005"/>
    <s v="Blender"/>
    <s v="Appliances"/>
    <n v="1"/>
    <n v="59.99"/>
    <s v="Debit Card"/>
    <x v="3"/>
    <s v="Premium"/>
    <d v="2023-09-21T00:00:00"/>
    <n v="59.99"/>
    <d v="2026-03-03T17:55:01"/>
    <d v="2026-03-03T17:55:01"/>
    <n v="179064.16000000024"/>
    <n v="1.2"/>
    <n v="71.988"/>
    <n v="214876.99200000009"/>
    <n v="161157.74399999998"/>
    <n v="195627.59480000011"/>
  </r>
  <r>
    <s v="TRX0150"/>
    <d v="2024-06-17T00:00:00"/>
    <s v="CUST008"/>
    <s v="Jennifer Taylor"/>
    <s v="P007"/>
    <s v="Desk"/>
    <s v="Furniture"/>
    <n v="2"/>
    <n v="299.99"/>
    <s v="Debit Card"/>
    <x v="4"/>
    <s v="Standard"/>
    <d v="2023-11-23T00:00:00"/>
    <n v="599.98"/>
    <d v="2026-03-03T17:55:01"/>
    <d v="2026-03-03T17:55:01"/>
    <n v="179004.17000000022"/>
    <n v="2.4"/>
    <n v="719.976"/>
    <n v="214805.00400000007"/>
    <n v="161103.75299999997"/>
    <n v="195562.0557250001"/>
  </r>
  <r>
    <s v="TRX0025"/>
    <d v="2024-06-25T00:00:00"/>
    <s v="CUST049"/>
    <s v="Raymond Ross"/>
    <s v="P010"/>
    <s v="Keyboard"/>
    <s v="Electronics"/>
    <n v="4"/>
    <n v="89.99"/>
    <s v="Debit Card"/>
    <x v="1"/>
    <s v="Basic"/>
    <d v="2023-12-21T00:00:00"/>
    <n v="359.96"/>
    <d v="2026-03-03T17:55:01"/>
    <d v="2026-03-03T17:55:01"/>
    <n v="178404.19000000024"/>
    <n v="4.8"/>
    <n v="431.95199999999994"/>
    <n v="214085.02800000008"/>
    <n v="160563.77099999998"/>
    <n v="194906.57757500012"/>
  </r>
  <r>
    <s v="TRX0078"/>
    <d v="2024-06-26T00:00:00"/>
    <s v="CUST021"/>
    <s v="Kevin Scott"/>
    <s v="P004"/>
    <s v="Coffee Maker"/>
    <s v="Appliances"/>
    <n v="1"/>
    <n v="79.989999999999995"/>
    <s v="PayPal"/>
    <x v="0"/>
    <s v="Premium"/>
    <d v="2024-03-01T00:00:00"/>
    <n v="79.989999999999995"/>
    <d v="2026-03-03T17:55:01"/>
    <d v="2026-03-03T17:55:01"/>
    <n v="178044.23000000021"/>
    <n v="1.2"/>
    <n v="95.987999999999985"/>
    <n v="213653.07600000009"/>
    <n v="160239.80699999997"/>
    <n v="194513.32127500011"/>
  </r>
  <r>
    <s v="TRX0007"/>
    <d v="2024-06-26T00:00:00"/>
    <s v="CUST009"/>
    <s v="Robert Thomas"/>
    <s v="P010"/>
    <s v="Keyboard"/>
    <s v="Electronics"/>
    <n v="2"/>
    <n v="89.99"/>
    <s v="Cash"/>
    <x v="3"/>
    <s v="Basic"/>
    <d v="2021-08-30T00:00:00"/>
    <n v="179.98"/>
    <d v="2026-03-03T17:55:01"/>
    <d v="2026-03-03T17:55:01"/>
    <n v="177964.24000000022"/>
    <n v="2.4"/>
    <n v="215.97599999999997"/>
    <n v="213557.08800000008"/>
    <n v="160167.81599999999"/>
    <n v="194425.93220000013"/>
  </r>
  <r>
    <s v="TRX0184"/>
    <d v="2024-06-28T00:00:00"/>
    <s v="CUST046"/>
    <s v="Kathleen Bennett"/>
    <s v="P002"/>
    <s v="Smartphone"/>
    <s v="Electronics"/>
    <n v="3"/>
    <n v="699.99"/>
    <s v="Credit Card"/>
    <x v="4"/>
    <s v="Premium"/>
    <d v="2023-06-25T00:00:00"/>
    <n v="2099.9699999999998"/>
    <d v="2026-03-03T17:55:01"/>
    <d v="2026-03-03T17:55:01"/>
    <n v="177784.26000000021"/>
    <n v="3.5999999999999996"/>
    <n v="2519.9639999999999"/>
    <n v="213341.11200000005"/>
    <n v="160005.83399999997"/>
    <n v="194229.30405000012"/>
  </r>
  <r>
    <s v="TRX0104"/>
    <d v="2024-06-28T00:00:00"/>
    <s v="CUST012"/>
    <s v="Patricia Moore"/>
    <s v="P001"/>
    <s v="Laptop"/>
    <s v="Electronics"/>
    <n v="4"/>
    <n v="899.99"/>
    <s v="Credit Card"/>
    <x v="4"/>
    <s v="Premium"/>
    <d v="2023-03-08T00:00:00"/>
    <n v="3599.96"/>
    <d v="2026-03-03T17:55:01"/>
    <d v="2026-03-03T17:55:01"/>
    <n v="175684.29000000021"/>
    <n v="4.8"/>
    <n v="4319.9520000000002"/>
    <n v="210821.14800000004"/>
    <n v="158115.86099999998"/>
    <n v="191935.08682500012"/>
  </r>
  <r>
    <s v="TRX0127"/>
    <d v="2024-06-29T00:00:00"/>
    <s v="CUST030"/>
    <s v="Helen Roberts"/>
    <s v="P008"/>
    <s v="Bookshelf"/>
    <s v="Furniture"/>
    <n v="1"/>
    <n v="149.99"/>
    <s v="PayPal"/>
    <x v="4"/>
    <s v="Basic"/>
    <d v="2022-10-17T00:00:00"/>
    <n v="149.99"/>
    <d v="2026-03-03T17:55:01"/>
    <d v="2026-03-03T17:55:01"/>
    <n v="172084.33000000025"/>
    <n v="1.2"/>
    <n v="179.988"/>
    <n v="206501.19600000005"/>
    <n v="154875.89700000003"/>
    <n v="188002.1305250001"/>
  </r>
  <r>
    <s v="TRX0096"/>
    <d v="2024-07-01T00:00:00"/>
    <s v="CUST002"/>
    <s v="Emma Wilson"/>
    <s v="P010"/>
    <s v="Keyboard"/>
    <s v="Electronics"/>
    <n v="2"/>
    <n v="89.99"/>
    <s v="PayPal"/>
    <x v="0"/>
    <s v="Premium"/>
    <d v="2023-12-15T00:00:00"/>
    <n v="179.98"/>
    <d v="2026-03-03T17:55:01"/>
    <d v="2026-03-03T17:55:01"/>
    <n v="171934.34000000023"/>
    <n v="2.4"/>
    <n v="215.97599999999997"/>
    <n v="206321.20800000007"/>
    <n v="154740.90600000002"/>
    <n v="187838.26645000011"/>
  </r>
  <r>
    <s v="TRX0192"/>
    <d v="2024-07-02T00:00:00"/>
    <s v="CUST017"/>
    <s v="Charles Allen"/>
    <s v="P010"/>
    <s v="Keyboard"/>
    <s v="Electronics"/>
    <n v="1"/>
    <n v="89.99"/>
    <s v="PayPal"/>
    <x v="3"/>
    <s v="Standard"/>
    <d v="2022-08-29T00:00:00"/>
    <n v="89.99"/>
    <d v="2026-03-03T17:55:01"/>
    <d v="2026-03-03T17:55:01"/>
    <n v="171754.36000000022"/>
    <n v="1.2"/>
    <n v="107.98799999999999"/>
    <n v="206105.23200000005"/>
    <n v="154578.92400000003"/>
    <n v="187641.63830000011"/>
  </r>
  <r>
    <s v="TRX0052"/>
    <d v="2024-07-03T00:00:00"/>
    <s v="CUST022"/>
    <s v="Susan Green"/>
    <s v="P010"/>
    <s v="Keyboard"/>
    <s v="Electronics"/>
    <n v="1"/>
    <n v="89.99"/>
    <s v="Cash"/>
    <x v="1"/>
    <s v="Standard"/>
    <d v="2022-02-19T00:00:00"/>
    <n v="89.99"/>
    <d v="2026-03-03T17:55:01"/>
    <d v="2026-03-03T17:55:01"/>
    <n v="171664.37000000023"/>
    <n v="1.2"/>
    <n v="107.98799999999999"/>
    <n v="205997.24400000006"/>
    <n v="154497.93300000002"/>
    <n v="187543.32422500013"/>
  </r>
  <r>
    <s v="TRX0070"/>
    <d v="2024-07-03T00:00:00"/>
    <s v="CUST007"/>
    <s v="David Martinez"/>
    <s v="P004"/>
    <s v="Coffee Maker"/>
    <s v="Appliances"/>
    <n v="5"/>
    <n v="79.989999999999995"/>
    <s v="Debit Card"/>
    <x v="0"/>
    <s v="Basic"/>
    <d v="2023-02-24T00:00:00"/>
    <n v="399.95"/>
    <d v="2026-03-03T17:55:01"/>
    <d v="2026-03-03T17:55:01"/>
    <n v="171574.38000000021"/>
    <n v="6"/>
    <n v="479.93999999999994"/>
    <n v="205889.25600000005"/>
    <n v="154416.94200000001"/>
    <n v="187445.01015000013"/>
  </r>
  <r>
    <s v="TRX0086"/>
    <d v="2024-07-08T00:00:00"/>
    <s v="CUST020"/>
    <s v="Margaret Wright"/>
    <s v="P008"/>
    <s v="Bookshelf"/>
    <s v="Furniture"/>
    <n v="1"/>
    <n v="149.99"/>
    <s v="PayPal"/>
    <x v="2"/>
    <s v="Basic"/>
    <d v="2021-08-13T00:00:00"/>
    <n v="149.99"/>
    <d v="2026-03-03T17:55:01"/>
    <d v="2026-03-03T17:55:01"/>
    <n v="171174.43000000023"/>
    <n v="1.2"/>
    <n v="179.988"/>
    <n v="205409.31600000005"/>
    <n v="154056.98700000002"/>
    <n v="187008.06477500012"/>
  </r>
  <r>
    <s v="TRX0113"/>
    <d v="2024-07-08T00:00:00"/>
    <s v="CUST003"/>
    <s v="Michael Brown"/>
    <s v="P002"/>
    <s v="Smartphone"/>
    <s v="Electronics"/>
    <n v="2"/>
    <n v="699.99"/>
    <s v="PayPal"/>
    <x v="4"/>
    <s v="Premium"/>
    <d v="2024-04-07T00:00:00"/>
    <n v="1399.98"/>
    <d v="2026-03-03T17:55:01"/>
    <d v="2026-03-03T17:55:01"/>
    <n v="171024.44000000021"/>
    <n v="2.4"/>
    <n v="1679.9759999999999"/>
    <n v="205229.32800000007"/>
    <n v="153921.99600000001"/>
    <n v="186844.20070000013"/>
  </r>
  <r>
    <s v="TRX0114"/>
    <d v="2024-07-08T00:00:00"/>
    <s v="CUST018"/>
    <s v="Barbara Young"/>
    <s v="P010"/>
    <s v="Keyboard"/>
    <s v="Electronics"/>
    <n v="5"/>
    <n v="89.99"/>
    <s v="Debit Card"/>
    <x v="2"/>
    <s v="Premium"/>
    <d v="2023-08-23T00:00:00"/>
    <n v="449.95"/>
    <d v="2026-03-03T17:55:01"/>
    <d v="2026-03-03T17:55:01"/>
    <n v="169624.4600000002"/>
    <n v="6"/>
    <n v="539.93999999999994"/>
    <n v="203549.35200000007"/>
    <n v="152662.014"/>
    <n v="185314.72255000012"/>
  </r>
  <r>
    <s v="TRX0136"/>
    <d v="2024-07-09T00:00:00"/>
    <s v="CUST049"/>
    <s v="Raymond Ross"/>
    <s v="P005"/>
    <s v="Blender"/>
    <s v="Appliances"/>
    <n v="4"/>
    <n v="59.99"/>
    <s v="Cash"/>
    <x v="1"/>
    <s v="Standard"/>
    <d v="2021-11-09T00:00:00"/>
    <n v="239.96"/>
    <d v="2026-03-03T17:55:01"/>
    <d v="2026-03-03T17:55:01"/>
    <n v="169174.51000000018"/>
    <n v="4.8"/>
    <n v="287.952"/>
    <n v="203009.41200000007"/>
    <n v="152257.05900000001"/>
    <n v="184823.15217500011"/>
  </r>
  <r>
    <s v="TRX0018"/>
    <d v="2024-07-11T00:00:00"/>
    <s v="CUST013"/>
    <s v="Joseph Jackson"/>
    <s v="P003"/>
    <s v="Headphones"/>
    <s v="Electronics"/>
    <n v="1"/>
    <n v="149.99"/>
    <s v="Cash"/>
    <x v="0"/>
    <s v="Standard"/>
    <d v="2022-12-14T00:00:00"/>
    <n v="149.99"/>
    <d v="2026-03-03T17:55:01"/>
    <d v="2026-03-03T17:55:01"/>
    <n v="168934.55000000019"/>
    <n v="1.2"/>
    <n v="179.988"/>
    <n v="202721.46000000005"/>
    <n v="152041.095"/>
    <n v="184560.99587500011"/>
  </r>
  <r>
    <s v="TRX0141"/>
    <d v="2024-07-11T00:00:00"/>
    <s v="CUST033"/>
    <s v="Frank Torres"/>
    <s v="P007"/>
    <s v="Desk"/>
    <s v="Furniture"/>
    <n v="1"/>
    <n v="299.99"/>
    <s v="Credit Card"/>
    <x v="2"/>
    <s v="Premium"/>
    <d v="2022-11-26T00:00:00"/>
    <n v="299.99"/>
    <d v="2026-03-03T17:55:01"/>
    <d v="2026-03-03T17:55:01"/>
    <n v="168784.56000000017"/>
    <n v="1.2"/>
    <n v="359.988"/>
    <n v="202541.47200000007"/>
    <n v="151906.10400000002"/>
    <n v="184397.13180000012"/>
  </r>
  <r>
    <s v="TRX0097"/>
    <d v="2024-07-14T00:00:00"/>
    <s v="CUST033"/>
    <s v="Frank Torres"/>
    <s v="P006"/>
    <s v="Office Chair"/>
    <s v="Furniture"/>
    <n v="2"/>
    <n v="199.99"/>
    <s v="Cash"/>
    <x v="2"/>
    <s v="Basic"/>
    <d v="2021-12-11T00:00:00"/>
    <n v="399.98"/>
    <d v="2026-03-03T17:55:01"/>
    <d v="2026-03-03T17:55:01"/>
    <n v="168484.57000000018"/>
    <n v="2.4"/>
    <n v="479.976"/>
    <n v="202181.48400000005"/>
    <n v="151636.11300000004"/>
    <n v="184069.39272500013"/>
  </r>
  <r>
    <s v="TRX0169"/>
    <d v="2024-07-17T00:00:00"/>
    <s v="CUST047"/>
    <s v="Gerald Murphy"/>
    <s v="P005"/>
    <s v="Blender"/>
    <s v="Appliances"/>
    <n v="3"/>
    <n v="59.99"/>
    <s v="Credit Card"/>
    <x v="3"/>
    <s v="Basic"/>
    <d v="2023-07-23T00:00:00"/>
    <n v="179.97"/>
    <d v="2026-03-03T17:55:01"/>
    <d v="2026-03-03T17:55:01"/>
    <n v="168084.59000000017"/>
    <n v="3.5999999999999996"/>
    <n v="215.964"/>
    <n v="201701.50800000003"/>
    <n v="151276.13100000005"/>
    <n v="183632.41457500012"/>
  </r>
  <r>
    <s v="TRX0216"/>
    <d v="2024-07-17T00:00:00"/>
    <s v="CUST041"/>
    <s v="Peter Richardson"/>
    <s v="P008"/>
    <s v="Bookshelf"/>
    <s v="Furniture"/>
    <n v="3"/>
    <n v="149.99"/>
    <s v="Cash"/>
    <x v="0"/>
    <s v="Premium"/>
    <d v="2023-09-30T00:00:00"/>
    <n v="449.97"/>
    <d v="2026-03-03T17:55:01"/>
    <d v="2026-03-03T17:55:01"/>
    <n v="167904.62000000017"/>
    <n v="3.5999999999999996"/>
    <n v="539.96399999999994"/>
    <n v="201485.54400000002"/>
    <n v="151114.15800000005"/>
    <n v="183435.79735000012"/>
  </r>
  <r>
    <s v="TRX0131"/>
    <d v="2024-07-18T00:00:00"/>
    <s v="CUST026"/>
    <s v="Karen Hill"/>
    <s v="P006"/>
    <s v="Office Chair"/>
    <s v="Furniture"/>
    <n v="3"/>
    <n v="199.99"/>
    <s v="Cash"/>
    <x v="2"/>
    <s v="Premium"/>
    <d v="2023-11-24T00:00:00"/>
    <n v="599.97"/>
    <d v="2026-03-03T17:55:01"/>
    <d v="2026-03-03T17:55:01"/>
    <n v="167454.6500000002"/>
    <n v="3.5999999999999996"/>
    <n v="719.96399999999994"/>
    <n v="200945.58000000002"/>
    <n v="150709.18500000006"/>
    <n v="182944.20512500012"/>
  </r>
  <r>
    <s v="TRX0162"/>
    <d v="2024-07-23T00:00:00"/>
    <s v="CUST040"/>
    <s v="Sharon Butler"/>
    <s v="P001"/>
    <s v="Laptop"/>
    <s v="Electronics"/>
    <n v="1"/>
    <n v="899.99"/>
    <s v="Cash"/>
    <x v="0"/>
    <s v="Standard"/>
    <d v="2023-09-10T00:00:00"/>
    <n v="899.99"/>
    <d v="2026-03-03T17:55:01"/>
    <d v="2026-03-03T17:55:01"/>
    <n v="166854.68000000017"/>
    <n v="1.2"/>
    <n v="1079.9880000000001"/>
    <n v="200225.61600000001"/>
    <n v="150169.21200000006"/>
    <n v="182288.73790000012"/>
  </r>
  <r>
    <s v="TRX0244"/>
    <d v="2024-07-24T00:00:00"/>
    <s v="CUST013"/>
    <s v="Joseph Jackson"/>
    <s v="P001"/>
    <s v="Laptop"/>
    <s v="Electronics"/>
    <n v="5"/>
    <n v="899.99"/>
    <s v="Debit Card"/>
    <x v="1"/>
    <s v="Standard"/>
    <d v="2022-12-04T00:00:00"/>
    <n v="4499.95"/>
    <d v="2026-03-03T17:55:01"/>
    <d v="2026-03-03T17:55:01"/>
    <n v="165954.69000000018"/>
    <n v="6"/>
    <n v="5399.9400000000005"/>
    <n v="199145.62800000003"/>
    <n v="149359.22100000008"/>
    <n v="181305.49882500013"/>
  </r>
  <r>
    <s v="TRX0006"/>
    <d v="2024-07-25T00:00:00"/>
    <s v="CUST007"/>
    <s v="David Martinez"/>
    <s v="P005"/>
    <s v="Blender"/>
    <s v="Appliances"/>
    <n v="2"/>
    <n v="59.99"/>
    <s v="Cash"/>
    <x v="2"/>
    <s v="Standard"/>
    <d v="2023-08-14T00:00:00"/>
    <n v="119.98"/>
    <d v="2026-03-03T17:55:01"/>
    <d v="2026-03-03T17:55:01"/>
    <n v="161454.74000000017"/>
    <n v="2.4"/>
    <n v="143.976"/>
    <n v="193745.68800000008"/>
    <n v="145309.26600000009"/>
    <n v="176389.30345000012"/>
  </r>
  <r>
    <s v="TRX0215"/>
    <d v="2024-07-25T00:00:00"/>
    <s v="CUST047"/>
    <s v="Gerald Murphy"/>
    <s v="P009"/>
    <s v="Monitor"/>
    <s v="Electronics"/>
    <n v="4"/>
    <n v="249.99"/>
    <s v="Debit Card"/>
    <x v="0"/>
    <s v="Standard"/>
    <d v="2023-07-20T00:00:00"/>
    <n v="999.96"/>
    <d v="2026-03-03T17:55:01"/>
    <d v="2026-03-03T17:55:01"/>
    <n v="161334.76000000018"/>
    <n v="4.8"/>
    <n v="1199.952"/>
    <n v="193601.71200000006"/>
    <n v="145201.2840000001"/>
    <n v="176258.22530000014"/>
  </r>
  <r>
    <s v="TRX0080"/>
    <d v="2024-07-27T00:00:00"/>
    <s v="CUST018"/>
    <s v="Barbara Young"/>
    <s v="P009"/>
    <s v="Monitor"/>
    <s v="Electronics"/>
    <n v="2"/>
    <n v="249.99"/>
    <s v="Cash"/>
    <x v="2"/>
    <s v="Premium"/>
    <d v="2023-08-26T00:00:00"/>
    <n v="499.98"/>
    <d v="2026-03-03T17:55:01"/>
    <d v="2026-03-03T17:55:01"/>
    <n v="160334.80000000016"/>
    <n v="2.4"/>
    <n v="599.976"/>
    <n v="192401.76000000007"/>
    <n v="144301.32000000012"/>
    <n v="175165.76900000009"/>
  </r>
  <r>
    <s v="TRX0228"/>
    <d v="2024-07-27T00:00:00"/>
    <s v="CUST019"/>
    <s v="Daniel King"/>
    <s v="P007"/>
    <s v="Desk"/>
    <s v="Furniture"/>
    <n v="1"/>
    <n v="299.99"/>
    <s v="Cash"/>
    <x v="1"/>
    <s v="Basic"/>
    <d v="2023-02-25T00:00:00"/>
    <n v="299.99"/>
    <d v="2026-03-03T17:55:01"/>
    <d v="2026-03-03T17:55:01"/>
    <n v="159834.82000000018"/>
    <n v="1.2"/>
    <n v="359.988"/>
    <n v="191801.78400000007"/>
    <n v="143851.33800000011"/>
    <n v="174619.54085000008"/>
  </r>
  <r>
    <s v="TRX0157"/>
    <d v="2024-07-28T00:00:00"/>
    <s v="CUST025"/>
    <s v="Mark Carter"/>
    <s v="P010"/>
    <s v="Keyboard"/>
    <s v="Electronics"/>
    <n v="2"/>
    <n v="89.99"/>
    <s v="PayPal"/>
    <x v="1"/>
    <s v="Basic"/>
    <d v="2023-02-19T00:00:00"/>
    <n v="179.98"/>
    <d v="2026-03-03T17:55:01"/>
    <d v="2026-03-03T17:55:01"/>
    <n v="159534.83000000019"/>
    <n v="2.4"/>
    <n v="215.97599999999997"/>
    <n v="191441.79600000006"/>
    <n v="143581.34700000013"/>
    <n v="174291.80177500009"/>
  </r>
  <r>
    <s v="TRX0002"/>
    <d v="2024-07-28T00:00:00"/>
    <s v="CUST019"/>
    <s v="Daniel King"/>
    <s v="P007"/>
    <s v="Desk"/>
    <s v="Furniture"/>
    <n v="3"/>
    <n v="299.99"/>
    <s v="Cash"/>
    <x v="0"/>
    <s v="Basic"/>
    <d v="2022-06-20T00:00:00"/>
    <n v="899.97"/>
    <d v="2026-03-03T17:55:01"/>
    <d v="2026-03-03T17:55:01"/>
    <n v="159354.85000000018"/>
    <n v="3.5999999999999996"/>
    <n v="1079.9639999999999"/>
    <n v="191225.82000000007"/>
    <n v="143419.36500000011"/>
    <n v="174095.17362500008"/>
  </r>
  <r>
    <s v="TRX0217"/>
    <d v="2024-07-30T00:00:00"/>
    <s v="CUST025"/>
    <s v="Mark Carter"/>
    <s v="P002"/>
    <s v="Smartphone"/>
    <s v="Electronics"/>
    <n v="2"/>
    <n v="699.99"/>
    <s v="Credit Card"/>
    <x v="2"/>
    <s v="Premium"/>
    <d v="2023-03-14T00:00:00"/>
    <n v="1399.98"/>
    <d v="2026-03-03T17:55:01"/>
    <d v="2026-03-03T17:55:01"/>
    <n v="158454.88000000018"/>
    <n v="2.4"/>
    <n v="1679.9759999999999"/>
    <n v="190145.85600000006"/>
    <n v="142609.39200000011"/>
    <n v="173111.95640000008"/>
  </r>
  <r>
    <s v="TRX0249"/>
    <d v="2024-07-31T00:00:00"/>
    <s v="CUST030"/>
    <s v="Helen Roberts"/>
    <s v="P001"/>
    <s v="Laptop"/>
    <s v="Electronics"/>
    <n v="4"/>
    <n v="899.99"/>
    <s v="Debit Card"/>
    <x v="1"/>
    <s v="Standard"/>
    <d v="2021-11-23T00:00:00"/>
    <n v="3599.96"/>
    <d v="2026-03-03T17:55:01"/>
    <d v="2026-03-03T17:55:01"/>
    <n v="157054.90000000014"/>
    <n v="4.8"/>
    <n v="4319.9520000000002"/>
    <n v="188465.88000000006"/>
    <n v="141349.41000000009"/>
    <n v="171582.4782500001"/>
  </r>
  <r>
    <s v="TRX0065"/>
    <d v="2024-08-05T00:00:00"/>
    <s v="CUST016"/>
    <s v="Elizabeth Hall"/>
    <s v="P008"/>
    <s v="Bookshelf"/>
    <s v="Furniture"/>
    <n v="2"/>
    <n v="149.99"/>
    <s v="Credit Card"/>
    <x v="3"/>
    <s v="Basic"/>
    <d v="2021-12-12T00:00:00"/>
    <n v="299.98"/>
    <d v="2026-03-03T17:55:01"/>
    <d v="2026-03-03T17:55:01"/>
    <n v="153454.94000000009"/>
    <n v="2.4"/>
    <n v="359.976"/>
    <n v="184145.92800000007"/>
    <n v="138109.44600000008"/>
    <n v="167649.52195000008"/>
  </r>
  <r>
    <s v="TRX0176"/>
    <d v="2024-08-06T00:00:00"/>
    <s v="CUST044"/>
    <s v="Cynthia Price"/>
    <s v="P008"/>
    <s v="Bookshelf"/>
    <s v="Furniture"/>
    <n v="2"/>
    <n v="149.99"/>
    <s v="Debit Card"/>
    <x v="4"/>
    <s v="Standard"/>
    <d v="2022-04-16T00:00:00"/>
    <n v="299.98"/>
    <d v="2026-03-03T17:55:01"/>
    <d v="2026-03-03T17:55:01"/>
    <n v="153154.96000000011"/>
    <n v="2.4"/>
    <n v="359.976"/>
    <n v="183785.95200000008"/>
    <n v="137839.46400000007"/>
    <n v="167321.79380000007"/>
  </r>
  <r>
    <s v="TRX0101"/>
    <d v="2024-08-09T00:00:00"/>
    <s v="CUST010"/>
    <s v="Maria Garcia"/>
    <s v="P010"/>
    <s v="Keyboard"/>
    <s v="Electronics"/>
    <n v="1"/>
    <n v="89.99"/>
    <s v="Credit Card"/>
    <x v="2"/>
    <s v="Standard"/>
    <d v="2024-04-11T00:00:00"/>
    <n v="89.99"/>
    <d v="2026-03-03T17:55:01"/>
    <d v="2026-03-03T17:55:01"/>
    <n v="152854.9800000001"/>
    <n v="1.2"/>
    <n v="107.98799999999999"/>
    <n v="183425.97600000008"/>
    <n v="137569.48200000008"/>
    <n v="166994.06565000009"/>
  </r>
  <r>
    <s v="TRX0205"/>
    <d v="2024-08-11T00:00:00"/>
    <s v="CUST025"/>
    <s v="Mark Carter"/>
    <s v="P007"/>
    <s v="Desk"/>
    <s v="Furniture"/>
    <n v="5"/>
    <n v="299.99"/>
    <s v="Credit Card"/>
    <x v="2"/>
    <s v="Basic"/>
    <d v="2023-02-08T00:00:00"/>
    <n v="1499.95"/>
    <d v="2026-03-03T17:55:01"/>
    <d v="2026-03-03T17:55:01"/>
    <n v="152764.99000000011"/>
    <n v="6"/>
    <n v="1799.94"/>
    <n v="183317.98800000007"/>
    <n v="137488.49100000007"/>
    <n v="166895.75157500009"/>
  </r>
  <r>
    <s v="TRX0020"/>
    <d v="2024-08-13T00:00:00"/>
    <s v="CUST007"/>
    <s v="David Martinez"/>
    <s v="P003"/>
    <s v="Headphones"/>
    <s v="Electronics"/>
    <n v="4"/>
    <n v="149.99"/>
    <s v="Debit Card"/>
    <x v="1"/>
    <s v="Premium"/>
    <d v="2022-09-16T00:00:00"/>
    <n v="599.96"/>
    <d v="2026-03-03T17:55:01"/>
    <d v="2026-03-03T17:55:01"/>
    <n v="151265.04000000007"/>
    <n v="4.8"/>
    <n v="719.952"/>
    <n v="181518.04800000004"/>
    <n v="136138.53600000011"/>
    <n v="165257.05620000008"/>
  </r>
  <r>
    <s v="TRX0075"/>
    <d v="2024-08-13T00:00:00"/>
    <s v="CUST020"/>
    <s v="Margaret Wright"/>
    <s v="P009"/>
    <s v="Monitor"/>
    <s v="Electronics"/>
    <n v="5"/>
    <n v="249.99"/>
    <s v="PayPal"/>
    <x v="4"/>
    <s v="Premium"/>
    <d v="2022-08-09T00:00:00"/>
    <n v="1249.95"/>
    <d v="2026-03-03T17:55:01"/>
    <d v="2026-03-03T17:55:01"/>
    <n v="150665.08000000005"/>
    <n v="6"/>
    <n v="1499.94"/>
    <n v="180798.09600000005"/>
    <n v="135598.57200000013"/>
    <n v="164601.59990000009"/>
  </r>
  <r>
    <s v="TRX0098"/>
    <d v="2024-08-13T00:00:00"/>
    <s v="CUST026"/>
    <s v="Karen Hill"/>
    <s v="P009"/>
    <s v="Monitor"/>
    <s v="Electronics"/>
    <n v="3"/>
    <n v="249.99"/>
    <s v="PayPal"/>
    <x v="2"/>
    <s v="Premium"/>
    <d v="2021-09-26T00:00:00"/>
    <n v="749.97"/>
    <d v="2026-03-03T17:55:01"/>
    <d v="2026-03-03T17:55:01"/>
    <n v="149415.13000000006"/>
    <n v="3.5999999999999996"/>
    <n v="899.96399999999994"/>
    <n v="179298.15600000005"/>
    <n v="134473.61700000011"/>
    <n v="163236.02952500011"/>
  </r>
  <r>
    <s v="TRX0247"/>
    <d v="2024-08-13T00:00:00"/>
    <s v="CUST046"/>
    <s v="Kathleen Bennett"/>
    <s v="P006"/>
    <s v="Office Chair"/>
    <s v="Furniture"/>
    <n v="4"/>
    <n v="199.99"/>
    <s v="Cash"/>
    <x v="2"/>
    <s v="Standard"/>
    <d v="2021-09-19T00:00:00"/>
    <n v="799.96"/>
    <d v="2026-03-03T17:55:01"/>
    <d v="2026-03-03T17:55:01"/>
    <n v="148665.16000000006"/>
    <n v="4.8"/>
    <n v="959.952"/>
    <n v="178398.19200000004"/>
    <n v="133798.64400000012"/>
    <n v="162416.68730000014"/>
  </r>
  <r>
    <s v="TRX0027"/>
    <d v="2024-08-15T00:00:00"/>
    <s v="CUST028"/>
    <s v="Betty Campbell"/>
    <s v="P006"/>
    <s v="Office Chair"/>
    <s v="Furniture"/>
    <n v="5"/>
    <n v="199.99"/>
    <s v="Cash"/>
    <x v="2"/>
    <s v="Premium"/>
    <d v="2023-03-06T00:00:00"/>
    <n v="999.95"/>
    <d v="2026-03-03T17:55:01"/>
    <d v="2026-03-03T17:55:01"/>
    <n v="147865.20000000004"/>
    <n v="6"/>
    <n v="1199.94"/>
    <n v="177438.24000000002"/>
    <n v="133078.68000000011"/>
    <n v="161542.73100000012"/>
  </r>
  <r>
    <s v="TRX0140"/>
    <d v="2024-08-18T00:00:00"/>
    <s v="CUST025"/>
    <s v="Mark Carter"/>
    <s v="P010"/>
    <s v="Keyboard"/>
    <s v="Electronics"/>
    <n v="2"/>
    <n v="89.99"/>
    <s v="Cash"/>
    <x v="4"/>
    <s v="Premium"/>
    <d v="2023-02-15T00:00:00"/>
    <n v="179.98"/>
    <d v="2026-03-03T17:55:01"/>
    <d v="2026-03-03T17:55:01"/>
    <n v="146865.25000000006"/>
    <n v="2.4"/>
    <n v="215.97599999999997"/>
    <n v="176238.30000000002"/>
    <n v="132178.72500000012"/>
    <n v="160450.28562500011"/>
  </r>
  <r>
    <s v="TRX0132"/>
    <d v="2024-08-19T00:00:00"/>
    <s v="CUST047"/>
    <s v="Gerald Murphy"/>
    <s v="P001"/>
    <s v="Laptop"/>
    <s v="Electronics"/>
    <n v="5"/>
    <n v="899.99"/>
    <s v="Debit Card"/>
    <x v="4"/>
    <s v="Basic"/>
    <d v="2021-11-26T00:00:00"/>
    <n v="4499.95"/>
    <d v="2026-03-03T17:55:01"/>
    <d v="2026-03-03T17:55:01"/>
    <n v="146685.27000000008"/>
    <n v="6"/>
    <n v="5399.9400000000005"/>
    <n v="176022.32400000002"/>
    <n v="132016.7430000001"/>
    <n v="160253.6574750001"/>
  </r>
  <r>
    <s v="TRX0031"/>
    <d v="2024-08-19T00:00:00"/>
    <s v="CUST036"/>
    <s v="Nancy Collins"/>
    <s v="P003"/>
    <s v="Headphones"/>
    <s v="Electronics"/>
    <n v="3"/>
    <n v="149.99"/>
    <s v="PayPal"/>
    <x v="4"/>
    <s v="Basic"/>
    <d v="2022-01-13T00:00:00"/>
    <n v="449.97"/>
    <d v="2026-03-03T17:55:01"/>
    <d v="2026-03-03T17:55:01"/>
    <n v="142185.32000000004"/>
    <n v="3.5999999999999996"/>
    <n v="539.96399999999994"/>
    <n v="170622.38400000005"/>
    <n v="127966.78800000012"/>
    <n v="155337.46210000003"/>
  </r>
  <r>
    <s v="TRX0236"/>
    <d v="2024-08-22T00:00:00"/>
    <s v="CUST044"/>
    <s v="Cynthia Price"/>
    <s v="P008"/>
    <s v="Bookshelf"/>
    <s v="Furniture"/>
    <n v="5"/>
    <n v="149.99"/>
    <s v="Credit Card"/>
    <x v="0"/>
    <s v="Basic"/>
    <d v="2024-01-19T00:00:00"/>
    <n v="749.95"/>
    <d v="2026-03-03T17:55:01"/>
    <d v="2026-03-03T17:55:01"/>
    <n v="141735.35000000003"/>
    <n v="6"/>
    <n v="899.94"/>
    <n v="170082.42"/>
    <n v="127561.81500000012"/>
    <n v="154845.86987500003"/>
  </r>
  <r>
    <s v="TRX0001"/>
    <d v="2024-08-24T00:00:00"/>
    <s v="CUST039"/>
    <s v="Lawrence Reed"/>
    <s v="P004"/>
    <s v="Coffee Maker"/>
    <s v="Appliances"/>
    <n v="3"/>
    <n v="79.989999999999995"/>
    <s v="Cash"/>
    <x v="0"/>
    <s v="Premium"/>
    <d v="2022-08-06T00:00:00"/>
    <n v="239.97"/>
    <d v="2026-03-03T17:55:01"/>
    <d v="2026-03-03T17:55:01"/>
    <n v="140985.40000000005"/>
    <n v="3.5999999999999996"/>
    <n v="287.96399999999994"/>
    <n v="169182.48"/>
    <n v="126886.86000000013"/>
    <n v="154026.54950000002"/>
  </r>
  <r>
    <s v="TRX0037"/>
    <d v="2024-08-24T00:00:00"/>
    <s v="CUST035"/>
    <s v="Harry Morgan"/>
    <s v="P009"/>
    <s v="Monitor"/>
    <s v="Electronics"/>
    <n v="2"/>
    <n v="249.99"/>
    <s v="Cash"/>
    <x v="1"/>
    <s v="Standard"/>
    <d v="2022-01-11T00:00:00"/>
    <n v="499.98"/>
    <d v="2026-03-03T17:55:01"/>
    <d v="2026-03-03T17:55:01"/>
    <n v="140745.43000000005"/>
    <n v="2.4"/>
    <n v="599.976"/>
    <n v="168894.516"/>
    <n v="126670.88700000013"/>
    <n v="153764.38227500001"/>
  </r>
  <r>
    <s v="TRX0058"/>
    <d v="2024-08-28T00:00:00"/>
    <s v="CUST047"/>
    <s v="Gerald Murphy"/>
    <s v="P002"/>
    <s v="Smartphone"/>
    <s v="Electronics"/>
    <n v="1"/>
    <n v="699.99"/>
    <s v="Cash"/>
    <x v="0"/>
    <s v="Premium"/>
    <d v="2021-10-28T00:00:00"/>
    <n v="699.99"/>
    <d v="2026-03-03T17:55:01"/>
    <d v="2026-03-03T17:55:01"/>
    <n v="140245.45000000004"/>
    <n v="1.2"/>
    <n v="839.98799999999994"/>
    <n v="168294.54"/>
    <n v="126220.90500000012"/>
    <n v="153218.15412500003"/>
  </r>
  <r>
    <s v="TRX0170"/>
    <d v="2024-08-28T00:00:00"/>
    <s v="CUST034"/>
    <s v="Carol Evans"/>
    <s v="P003"/>
    <s v="Headphones"/>
    <s v="Electronics"/>
    <n v="3"/>
    <n v="149.99"/>
    <s v="Cash"/>
    <x v="3"/>
    <s v="Premium"/>
    <d v="2023-10-13T00:00:00"/>
    <n v="449.97"/>
    <d v="2026-03-03T17:55:01"/>
    <d v="2026-03-03T17:55:01"/>
    <n v="139545.46000000005"/>
    <n v="3.5999999999999996"/>
    <n v="539.96399999999994"/>
    <n v="167454.55200000003"/>
    <n v="125590.91400000014"/>
    <n v="152453.41505000001"/>
  </r>
  <r>
    <s v="TRX0248"/>
    <d v="2024-08-30T00:00:00"/>
    <s v="CUST032"/>
    <s v="Sandra Phillips"/>
    <s v="P002"/>
    <s v="Smartphone"/>
    <s v="Electronics"/>
    <n v="2"/>
    <n v="699.99"/>
    <s v="Credit Card"/>
    <x v="2"/>
    <s v="Premium"/>
    <d v="2021-08-13T00:00:00"/>
    <n v="1399.98"/>
    <d v="2026-03-03T17:55:01"/>
    <d v="2026-03-03T17:55:01"/>
    <n v="139095.49000000008"/>
    <n v="2.4"/>
    <n v="1679.9759999999999"/>
    <n v="166914.58799999999"/>
    <n v="125185.94100000014"/>
    <n v="151961.82282500001"/>
  </r>
  <r>
    <s v="TRX0099"/>
    <d v="2024-09-02T00:00:00"/>
    <s v="CUST034"/>
    <s v="Carol Evans"/>
    <s v="P009"/>
    <s v="Monitor"/>
    <s v="Electronics"/>
    <n v="1"/>
    <n v="249.99"/>
    <s v="Credit Card"/>
    <x v="3"/>
    <s v="Premium"/>
    <d v="2022-05-04T00:00:00"/>
    <n v="249.99"/>
    <d v="2026-03-03T17:55:01"/>
    <d v="2026-03-03T17:55:01"/>
    <n v="137695.51000000007"/>
    <n v="1.2"/>
    <n v="299.988"/>
    <n v="165234.61199999999"/>
    <n v="123925.95900000012"/>
    <n v="150432.34467500003"/>
  </r>
  <r>
    <s v="TRX0074"/>
    <d v="2024-09-02T00:00:00"/>
    <s v="CUST023"/>
    <s v="Paul Baker"/>
    <s v="P009"/>
    <s v="Monitor"/>
    <s v="Electronics"/>
    <n v="1"/>
    <n v="249.99"/>
    <s v="Debit Card"/>
    <x v="2"/>
    <s v="Premium"/>
    <d v="2024-02-10T00:00:00"/>
    <n v="249.99"/>
    <d v="2026-03-03T17:55:01"/>
    <d v="2026-03-03T17:55:01"/>
    <n v="137445.52000000005"/>
    <n v="1.2"/>
    <n v="299.988"/>
    <n v="164934.62399999998"/>
    <n v="123700.96800000014"/>
    <n v="150159.23060000001"/>
  </r>
  <r>
    <s v="TRX0225"/>
    <d v="2024-09-03T00:00:00"/>
    <s v="CUST039"/>
    <s v="Lawrence Reed"/>
    <s v="P002"/>
    <s v="Smartphone"/>
    <s v="Electronics"/>
    <n v="2"/>
    <n v="699.99"/>
    <s v="Debit Card"/>
    <x v="0"/>
    <s v="Premium"/>
    <d v="2022-11-05T00:00:00"/>
    <n v="1399.98"/>
    <d v="2026-03-03T17:55:01"/>
    <d v="2026-03-03T17:55:01"/>
    <n v="137195.53000000006"/>
    <n v="2.4"/>
    <n v="1679.9759999999999"/>
    <n v="164634.63600000003"/>
    <n v="123475.97700000013"/>
    <n v="149886.11652500002"/>
  </r>
  <r>
    <s v="TRX0100"/>
    <d v="2024-09-06T00:00:00"/>
    <s v="CUST031"/>
    <s v="Steven Turner"/>
    <s v="P005"/>
    <s v="Blender"/>
    <s v="Appliances"/>
    <n v="3"/>
    <n v="59.99"/>
    <s v="Credit Card"/>
    <x v="0"/>
    <s v="Premium"/>
    <d v="2022-06-05T00:00:00"/>
    <n v="179.97"/>
    <d v="2026-03-03T17:55:01"/>
    <d v="2026-03-03T17:55:01"/>
    <n v="135795.55000000005"/>
    <n v="3.5999999999999996"/>
    <n v="215.964"/>
    <n v="162954.66"/>
    <n v="122215.99500000014"/>
    <n v="148356.63837500004"/>
  </r>
  <r>
    <s v="TRX0142"/>
    <d v="2024-09-09T00:00:00"/>
    <s v="CUST002"/>
    <s v="Emma Wilson"/>
    <s v="P005"/>
    <s v="Blender"/>
    <s v="Appliances"/>
    <n v="3"/>
    <n v="59.99"/>
    <s v="PayPal"/>
    <x v="4"/>
    <s v="Standard"/>
    <d v="2022-07-06T00:00:00"/>
    <n v="179.97"/>
    <d v="2026-03-03T17:55:01"/>
    <d v="2026-03-03T17:55:01"/>
    <n v="135615.58000000005"/>
    <n v="3.5999999999999996"/>
    <n v="215.964"/>
    <n v="162738.696"/>
    <n v="122054.02200000011"/>
    <n v="148160.02115000004"/>
  </r>
  <r>
    <s v="TRX0112"/>
    <d v="2024-09-09T00:00:00"/>
    <s v="CUST008"/>
    <s v="Jennifer Taylor"/>
    <s v="P004"/>
    <s v="Coffee Maker"/>
    <s v="Appliances"/>
    <n v="4"/>
    <n v="79.989999999999995"/>
    <s v="Cash"/>
    <x v="2"/>
    <s v="Basic"/>
    <d v="2021-11-30T00:00:00"/>
    <n v="319.95999999999998"/>
    <d v="2026-03-03T17:55:01"/>
    <d v="2026-03-03T17:55:01"/>
    <n v="135435.61000000004"/>
    <n v="4.8"/>
    <n v="383.95199999999994"/>
    <n v="162522.73199999999"/>
    <n v="121892.04900000012"/>
    <n v="147963.40392500005"/>
  </r>
  <r>
    <s v="TRX0161"/>
    <d v="2024-09-10T00:00:00"/>
    <s v="CUST017"/>
    <s v="Charles Allen"/>
    <s v="P004"/>
    <s v="Coffee Maker"/>
    <s v="Appliances"/>
    <n v="1"/>
    <n v="79.989999999999995"/>
    <s v="Cash"/>
    <x v="3"/>
    <s v="Basic"/>
    <d v="2022-05-12T00:00:00"/>
    <n v="79.989999999999995"/>
    <d v="2026-03-03T17:55:01"/>
    <d v="2026-03-03T17:55:01"/>
    <n v="135115.65000000002"/>
    <n v="1.2"/>
    <n v="95.987999999999985"/>
    <n v="162138.78"/>
    <n v="121604.08500000014"/>
    <n v="147613.84762500002"/>
  </r>
  <r>
    <s v="TRX0108"/>
    <d v="2024-09-12T00:00:00"/>
    <s v="CUST024"/>
    <s v="Dorothy Nelson"/>
    <s v="P007"/>
    <s v="Desk"/>
    <s v="Furniture"/>
    <n v="3"/>
    <n v="299.99"/>
    <s v="Credit Card"/>
    <x v="0"/>
    <s v="Premium"/>
    <d v="2021-10-25T00:00:00"/>
    <n v="899.97"/>
    <d v="2026-03-03T17:55:01"/>
    <d v="2026-03-03T17:55:01"/>
    <n v="135035.66000000003"/>
    <n v="3.5999999999999996"/>
    <n v="1079.9639999999999"/>
    <n v="162042.79199999999"/>
    <n v="121532.09400000013"/>
    <n v="147526.45855000004"/>
  </r>
  <r>
    <s v="TRX0211"/>
    <d v="2024-09-13T00:00:00"/>
    <s v="CUST046"/>
    <s v="Kathleen Bennett"/>
    <s v="P010"/>
    <s v="Keyboard"/>
    <s v="Electronics"/>
    <n v="2"/>
    <n v="89.99"/>
    <s v="Credit Card"/>
    <x v="1"/>
    <s v="Premium"/>
    <d v="2022-03-21T00:00:00"/>
    <n v="179.98"/>
    <d v="2026-03-03T17:55:01"/>
    <d v="2026-03-03T17:55:01"/>
    <n v="134135.69000000003"/>
    <n v="2.4"/>
    <n v="215.97599999999997"/>
    <n v="160962.82799999998"/>
    <n v="120722.12100000013"/>
    <n v="146543.24132500004"/>
  </r>
  <r>
    <s v="TRX0005"/>
    <d v="2024-09-15T00:00:00"/>
    <s v="CUST042"/>
    <s v="Ruth Brooks"/>
    <s v="P003"/>
    <s v="Headphones"/>
    <s v="Electronics"/>
    <n v="4"/>
    <n v="149.99"/>
    <s v="Cash"/>
    <x v="2"/>
    <s v="Basic"/>
    <d v="2022-12-14T00:00:00"/>
    <n v="599.96"/>
    <d v="2026-03-03T17:55:01"/>
    <d v="2026-03-03T17:55:01"/>
    <n v="133955.71000000005"/>
    <n v="4.8"/>
    <n v="719.952"/>
    <n v="160746.85199999998"/>
    <n v="120560.13900000014"/>
    <n v="146346.61317500003"/>
  </r>
  <r>
    <s v="TRX0195"/>
    <d v="2024-09-16T00:00:00"/>
    <s v="CUST026"/>
    <s v="Karen Hill"/>
    <s v="P009"/>
    <s v="Monitor"/>
    <s v="Electronics"/>
    <n v="2"/>
    <n v="249.99"/>
    <s v="PayPal"/>
    <x v="1"/>
    <s v="Basic"/>
    <d v="2023-03-08T00:00:00"/>
    <n v="499.98"/>
    <d v="2026-03-03T17:55:01"/>
    <d v="2026-03-03T17:55:01"/>
    <n v="133355.75000000006"/>
    <n v="2.4"/>
    <n v="599.976"/>
    <n v="160026.9"/>
    <n v="120020.17500000013"/>
    <n v="145691.15687500004"/>
  </r>
  <r>
    <s v="TRX0054"/>
    <d v="2024-09-16T00:00:00"/>
    <s v="CUST004"/>
    <s v="Sarah Davis"/>
    <s v="P006"/>
    <s v="Office Chair"/>
    <s v="Furniture"/>
    <n v="4"/>
    <n v="199.99"/>
    <s v="Debit Card"/>
    <x v="4"/>
    <s v="Basic"/>
    <d v="2021-09-19T00:00:00"/>
    <n v="799.96"/>
    <d v="2026-03-03T17:55:01"/>
    <d v="2026-03-03T17:55:01"/>
    <n v="132855.77000000005"/>
    <n v="4.8"/>
    <n v="959.952"/>
    <n v="159426.924"/>
    <n v="119570.19300000014"/>
    <n v="145144.92872500003"/>
  </r>
  <r>
    <s v="TRX0077"/>
    <d v="2024-09-19T00:00:00"/>
    <s v="CUST019"/>
    <s v="Daniel King"/>
    <s v="P010"/>
    <s v="Keyboard"/>
    <s v="Electronics"/>
    <n v="5"/>
    <n v="89.99"/>
    <s v="Credit Card"/>
    <x v="4"/>
    <s v="Premium"/>
    <d v="2021-09-07T00:00:00"/>
    <n v="449.95"/>
    <d v="2026-03-03T17:55:01"/>
    <d v="2026-03-03T17:55:01"/>
    <n v="132055.81000000006"/>
    <n v="6"/>
    <n v="539.93999999999994"/>
    <n v="158466.97200000001"/>
    <n v="118850.22900000014"/>
    <n v="144270.97242500004"/>
  </r>
  <r>
    <s v="TRX0111"/>
    <d v="2024-09-19T00:00:00"/>
    <s v="CUST011"/>
    <s v="William White"/>
    <s v="P003"/>
    <s v="Headphones"/>
    <s v="Electronics"/>
    <n v="1"/>
    <n v="149.99"/>
    <s v="PayPal"/>
    <x v="4"/>
    <s v="Standard"/>
    <d v="2021-10-13T00:00:00"/>
    <n v="149.99"/>
    <d v="2026-03-03T17:55:01"/>
    <d v="2026-03-03T17:55:01"/>
    <n v="131605.86000000004"/>
    <n v="1.2"/>
    <n v="179.988"/>
    <n v="157927.03200000001"/>
    <n v="118445.27400000015"/>
    <n v="143779.40205000006"/>
  </r>
  <r>
    <s v="TRX0123"/>
    <d v="2024-09-19T00:00:00"/>
    <s v="CUST041"/>
    <s v="Peter Richardson"/>
    <s v="P002"/>
    <s v="Smartphone"/>
    <s v="Electronics"/>
    <n v="4"/>
    <n v="699.99"/>
    <s v="PayPal"/>
    <x v="1"/>
    <s v="Basic"/>
    <d v="2022-02-26T00:00:00"/>
    <n v="2799.96"/>
    <d v="2026-03-03T17:55:01"/>
    <d v="2026-03-03T17:55:01"/>
    <n v="131455.87000000005"/>
    <n v="4.8"/>
    <n v="3359.9519999999998"/>
    <n v="157747.04399999999"/>
    <n v="118310.28300000014"/>
    <n v="143615.53797500007"/>
  </r>
  <r>
    <s v="TRX0177"/>
    <d v="2024-09-24T00:00:00"/>
    <s v="CUST032"/>
    <s v="Sandra Phillips"/>
    <s v="P001"/>
    <s v="Laptop"/>
    <s v="Electronics"/>
    <n v="3"/>
    <n v="899.99"/>
    <s v="Credit Card"/>
    <x v="2"/>
    <s v="Standard"/>
    <d v="2023-08-19T00:00:00"/>
    <n v="2699.97"/>
    <d v="2026-03-03T17:55:01"/>
    <d v="2026-03-03T17:55:01"/>
    <n v="128655.91000000006"/>
    <n v="3.5999999999999996"/>
    <n v="3239.9639999999995"/>
    <n v="154387.092"/>
    <n v="115790.31900000013"/>
    <n v="140556.58167500005"/>
  </r>
  <r>
    <s v="TRX0119"/>
    <d v="2024-09-25T00:00:00"/>
    <s v="CUST014"/>
    <s v="Linda Martin"/>
    <s v="P008"/>
    <s v="Bookshelf"/>
    <s v="Furniture"/>
    <n v="3"/>
    <n v="149.99"/>
    <s v="PayPal"/>
    <x v="4"/>
    <s v="Basic"/>
    <d v="2022-11-21T00:00:00"/>
    <n v="449.97"/>
    <d v="2026-03-03T17:55:01"/>
    <d v="2026-03-03T17:55:01"/>
    <n v="125955.94000000005"/>
    <n v="3.5999999999999996"/>
    <n v="539.96399999999994"/>
    <n v="151147.12800000003"/>
    <n v="113360.34600000011"/>
    <n v="137606.86445000002"/>
  </r>
  <r>
    <s v="TRX0181"/>
    <d v="2024-09-28T00:00:00"/>
    <s v="CUST012"/>
    <s v="Patricia Moore"/>
    <s v="P007"/>
    <s v="Desk"/>
    <s v="Furniture"/>
    <n v="2"/>
    <n v="299.99"/>
    <s v="Debit Card"/>
    <x v="0"/>
    <s v="Basic"/>
    <d v="2022-01-08T00:00:00"/>
    <n v="599.98"/>
    <d v="2026-03-03T17:55:01"/>
    <d v="2026-03-03T17:55:01"/>
    <n v="125505.97000000004"/>
    <n v="2.4"/>
    <n v="719.976"/>
    <n v="150607.16400000002"/>
    <n v="112955.37300000011"/>
    <n v="137115.27222500002"/>
  </r>
  <r>
    <s v="TRX0129"/>
    <d v="2024-09-29T00:00:00"/>
    <s v="CUST015"/>
    <s v="Richard Lee"/>
    <s v="P006"/>
    <s v="Office Chair"/>
    <s v="Furniture"/>
    <n v="1"/>
    <n v="199.99"/>
    <s v="Debit Card"/>
    <x v="4"/>
    <s v="Standard"/>
    <d v="2023-01-27T00:00:00"/>
    <n v="199.99"/>
    <d v="2026-03-03T17:55:01"/>
    <d v="2026-03-03T17:55:01"/>
    <n v="124905.99000000005"/>
    <n v="1.2"/>
    <n v="239.988"/>
    <n v="149887.18799999999"/>
    <n v="112415.39100000012"/>
    <n v="136459.79407500001"/>
  </r>
  <r>
    <s v="TRX0174"/>
    <d v="2024-10-01T00:00:00"/>
    <s v="CUST003"/>
    <s v="Michael Brown"/>
    <s v="P007"/>
    <s v="Desk"/>
    <s v="Furniture"/>
    <n v="4"/>
    <n v="299.99"/>
    <s v="Cash"/>
    <x v="0"/>
    <s v="Premium"/>
    <d v="2021-09-21T00:00:00"/>
    <n v="1199.96"/>
    <d v="2026-03-03T17:55:01"/>
    <d v="2026-03-03T17:55:01"/>
    <n v="124706.00000000004"/>
    <n v="4.8"/>
    <n v="1439.952"/>
    <n v="149647.20000000001"/>
    <n v="112235.40000000011"/>
    <n v="136241.30500000002"/>
  </r>
  <r>
    <s v="TRX0146"/>
    <d v="2024-10-07T00:00:00"/>
    <s v="CUST010"/>
    <s v="Maria Garcia"/>
    <s v="P005"/>
    <s v="Blender"/>
    <s v="Appliances"/>
    <n v="2"/>
    <n v="59.99"/>
    <s v="Credit Card"/>
    <x v="0"/>
    <s v="Basic"/>
    <d v="2022-01-18T00:00:00"/>
    <n v="119.98"/>
    <d v="2026-03-03T17:55:01"/>
    <d v="2026-03-03T17:55:01"/>
    <n v="123506.04000000002"/>
    <n v="2.4"/>
    <n v="143.976"/>
    <n v="148207.24800000002"/>
    <n v="111155.4360000001"/>
    <n v="134930.34870000003"/>
  </r>
  <r>
    <s v="TRX0203"/>
    <d v="2024-10-07T00:00:00"/>
    <s v="CUST032"/>
    <s v="Sandra Phillips"/>
    <s v="P003"/>
    <s v="Headphones"/>
    <s v="Electronics"/>
    <n v="4"/>
    <n v="149.99"/>
    <s v="Credit Card"/>
    <x v="2"/>
    <s v="Premium"/>
    <d v="2023-05-30T00:00:00"/>
    <n v="599.96"/>
    <d v="2026-03-03T17:55:01"/>
    <d v="2026-03-03T17:55:01"/>
    <n v="123386.06000000003"/>
    <n v="4.8"/>
    <n v="719.952"/>
    <n v="148063.27200000003"/>
    <n v="111047.45400000011"/>
    <n v="134799.27055000002"/>
  </r>
  <r>
    <s v="TRX0055"/>
    <d v="2024-10-08T00:00:00"/>
    <s v="CUST016"/>
    <s v="Elizabeth Hall"/>
    <s v="P002"/>
    <s v="Smartphone"/>
    <s v="Electronics"/>
    <n v="2"/>
    <n v="699.99"/>
    <s v="Debit Card"/>
    <x v="4"/>
    <s v="Premium"/>
    <d v="2023-12-14T00:00:00"/>
    <n v="1399.98"/>
    <d v="2026-03-03T17:55:01"/>
    <d v="2026-03-03T17:55:01"/>
    <n v="122786.10000000003"/>
    <n v="2.4"/>
    <n v="1679.9759999999999"/>
    <n v="147343.32000000004"/>
    <n v="110507.49000000011"/>
    <n v="134143.81425000002"/>
  </r>
  <r>
    <s v="TRX0218"/>
    <d v="2024-10-08T00:00:00"/>
    <s v="CUST034"/>
    <s v="Carol Evans"/>
    <s v="P008"/>
    <s v="Bookshelf"/>
    <s v="Furniture"/>
    <n v="3"/>
    <n v="149.99"/>
    <s v="Credit Card"/>
    <x v="1"/>
    <s v="Standard"/>
    <d v="2023-01-14T00:00:00"/>
    <n v="449.97"/>
    <d v="2026-03-03T17:55:01"/>
    <d v="2026-03-03T17:55:01"/>
    <n v="121386.12000000002"/>
    <n v="3.5999999999999996"/>
    <n v="539.96399999999994"/>
    <n v="145663.34399999998"/>
    <n v="109247.50800000012"/>
    <n v="132614.33610000001"/>
  </r>
  <r>
    <s v="TRX0085"/>
    <d v="2024-10-11T00:00:00"/>
    <s v="CUST019"/>
    <s v="Daniel King"/>
    <s v="P007"/>
    <s v="Desk"/>
    <s v="Furniture"/>
    <n v="3"/>
    <n v="299.99"/>
    <s v="Credit Card"/>
    <x v="0"/>
    <s v="Standard"/>
    <d v="2023-09-05T00:00:00"/>
    <n v="899.97"/>
    <d v="2026-03-03T17:55:01"/>
    <d v="2026-03-03T17:55:01"/>
    <n v="120936.15000000002"/>
    <n v="3.5999999999999996"/>
    <n v="1079.9639999999999"/>
    <n v="145123.38"/>
    <n v="108842.53500000012"/>
    <n v="132122.74387500001"/>
  </r>
  <r>
    <s v="TRX0158"/>
    <d v="2024-10-14T00:00:00"/>
    <s v="CUST027"/>
    <s v="George Adams"/>
    <s v="P001"/>
    <s v="Laptop"/>
    <s v="Electronics"/>
    <n v="3"/>
    <n v="899.99"/>
    <s v="PayPal"/>
    <x v="3"/>
    <s v="Basic"/>
    <d v="2023-10-16T00:00:00"/>
    <n v="2699.97"/>
    <d v="2026-03-03T17:55:01"/>
    <d v="2026-03-03T17:55:01"/>
    <n v="120036.18000000002"/>
    <n v="3.5999999999999996"/>
    <n v="3239.9639999999995"/>
    <n v="144043.416"/>
    <n v="108032.56200000009"/>
    <n v="131139.52665000001"/>
  </r>
  <r>
    <s v="TRX0173"/>
    <d v="2024-10-16T00:00:00"/>
    <s v="CUST018"/>
    <s v="Barbara Young"/>
    <s v="P002"/>
    <s v="Smartphone"/>
    <s v="Electronics"/>
    <n v="5"/>
    <n v="699.99"/>
    <s v="Cash"/>
    <x v="4"/>
    <s v="Standard"/>
    <d v="2023-03-23T00:00:00"/>
    <n v="3499.95"/>
    <d v="2026-03-03T17:55:01"/>
    <d v="2026-03-03T17:55:01"/>
    <n v="117336.21"/>
    <n v="6"/>
    <n v="4199.9400000000005"/>
    <n v="140803.45200000002"/>
    <n v="105602.58900000009"/>
    <n v="128189.809425"/>
  </r>
  <r>
    <s v="TRX0034"/>
    <d v="2024-10-16T00:00:00"/>
    <s v="CUST049"/>
    <s v="Raymond Ross"/>
    <s v="P002"/>
    <s v="Smartphone"/>
    <s v="Electronics"/>
    <n v="4"/>
    <n v="699.99"/>
    <s v="Credit Card"/>
    <x v="0"/>
    <s v="Basic"/>
    <d v="2024-04-03T00:00:00"/>
    <n v="2799.96"/>
    <d v="2026-03-03T17:55:01"/>
    <d v="2026-03-03T17:55:01"/>
    <n v="113836.26"/>
    <n v="4.8"/>
    <n v="3359.9519999999998"/>
    <n v="136603.51200000002"/>
    <n v="102452.63400000009"/>
    <n v="124366.11405"/>
  </r>
  <r>
    <s v="TRX0189"/>
    <d v="2024-10-16T00:00:00"/>
    <s v="CUST040"/>
    <s v="Sharon Butler"/>
    <s v="P001"/>
    <s v="Laptop"/>
    <s v="Electronics"/>
    <n v="1"/>
    <n v="899.99"/>
    <s v="Credit Card"/>
    <x v="4"/>
    <s v="Standard"/>
    <d v="2024-03-18T00:00:00"/>
    <n v="899.99"/>
    <d v="2026-03-03T17:55:01"/>
    <d v="2026-03-03T17:55:01"/>
    <n v="111036.29999999999"/>
    <n v="1.2"/>
    <n v="1079.9880000000001"/>
    <n v="133243.55999999997"/>
    <n v="99932.670000000086"/>
    <n v="121307.15775"/>
  </r>
  <r>
    <s v="TRX0190"/>
    <d v="2024-10-18T00:00:00"/>
    <s v="CUST039"/>
    <s v="Lawrence Reed"/>
    <s v="P003"/>
    <s v="Headphones"/>
    <s v="Electronics"/>
    <n v="2"/>
    <n v="149.99"/>
    <s v="Credit Card"/>
    <x v="3"/>
    <s v="Basic"/>
    <d v="2022-12-21T00:00:00"/>
    <n v="299.98"/>
    <d v="2026-03-03T17:55:01"/>
    <d v="2026-03-03T17:55:01"/>
    <n v="110136.31"/>
    <n v="2.4"/>
    <n v="359.976"/>
    <n v="132163.57199999996"/>
    <n v="99122.679000000091"/>
    <n v="120323.91867499999"/>
  </r>
  <r>
    <s v="TRX0079"/>
    <d v="2024-10-21T00:00:00"/>
    <s v="CUST039"/>
    <s v="Lawrence Reed"/>
    <s v="P010"/>
    <s v="Keyboard"/>
    <s v="Electronics"/>
    <n v="3"/>
    <n v="89.99"/>
    <s v="PayPal"/>
    <x v="0"/>
    <s v="Basic"/>
    <d v="2021-12-21T00:00:00"/>
    <n v="269.97000000000003"/>
    <d v="2026-03-03T17:55:01"/>
    <d v="2026-03-03T17:55:01"/>
    <n v="109836.33"/>
    <n v="3.5999999999999996"/>
    <n v="323.96399999999994"/>
    <n v="131803.59599999996"/>
    <n v="98852.697000000087"/>
    <n v="119996.190525"/>
  </r>
  <r>
    <s v="TRX0095"/>
    <d v="2024-10-23T00:00:00"/>
    <s v="CUST046"/>
    <s v="Kathleen Bennett"/>
    <s v="P003"/>
    <s v="Headphones"/>
    <s v="Electronics"/>
    <n v="2"/>
    <n v="149.99"/>
    <s v="PayPal"/>
    <x v="0"/>
    <s v="Basic"/>
    <d v="2021-10-04T00:00:00"/>
    <n v="299.98"/>
    <d v="2026-03-03T17:55:01"/>
    <d v="2026-03-03T17:55:01"/>
    <n v="109566.36"/>
    <n v="2.4"/>
    <n v="359.976"/>
    <n v="131479.63199999995"/>
    <n v="98609.724000000089"/>
    <n v="119701.24830000001"/>
  </r>
  <r>
    <s v="TRX0009"/>
    <d v="2024-10-23T00:00:00"/>
    <s v="CUST004"/>
    <s v="Sarah Davis"/>
    <s v="P002"/>
    <s v="Smartphone"/>
    <s v="Electronics"/>
    <n v="2"/>
    <n v="699.99"/>
    <s v="Cash"/>
    <x v="0"/>
    <s v="Basic"/>
    <d v="2023-03-07T00:00:00"/>
    <n v="1399.98"/>
    <d v="2026-03-03T17:55:01"/>
    <d v="2026-03-03T17:55:01"/>
    <n v="109266.37999999999"/>
    <n v="2.4"/>
    <n v="1679.9759999999999"/>
    <n v="131119.65599999996"/>
    <n v="98339.742000000086"/>
    <n v="119373.52015"/>
  </r>
  <r>
    <s v="TRX0167"/>
    <d v="2024-10-24T00:00:00"/>
    <s v="CUST028"/>
    <s v="Betty Campbell"/>
    <s v="P002"/>
    <s v="Smartphone"/>
    <s v="Electronics"/>
    <n v="5"/>
    <n v="699.99"/>
    <s v="Cash"/>
    <x v="2"/>
    <s v="Premium"/>
    <d v="2022-03-15T00:00:00"/>
    <n v="3499.95"/>
    <d v="2026-03-03T17:55:01"/>
    <d v="2026-03-03T17:55:01"/>
    <n v="107866.4"/>
    <n v="6"/>
    <n v="4199.9400000000005"/>
    <n v="129439.67999999996"/>
    <n v="97079.760000000082"/>
    <n v="117844.04199999999"/>
  </r>
  <r>
    <s v="TRX0153"/>
    <d v="2024-10-27T00:00:00"/>
    <s v="CUST049"/>
    <s v="Raymond Ross"/>
    <s v="P010"/>
    <s v="Keyboard"/>
    <s v="Electronics"/>
    <n v="3"/>
    <n v="89.99"/>
    <s v="Credit Card"/>
    <x v="2"/>
    <s v="Standard"/>
    <d v="2022-02-23T00:00:00"/>
    <n v="269.97000000000003"/>
    <d v="2026-03-03T17:55:01"/>
    <d v="2026-03-03T17:55:01"/>
    <n v="104366.45"/>
    <n v="3.5999999999999996"/>
    <n v="323.96399999999994"/>
    <n v="125239.73999999996"/>
    <n v="93929.805000000066"/>
    <n v="114020.34662499999"/>
  </r>
  <r>
    <s v="TRX0057"/>
    <d v="2024-11-01T00:00:00"/>
    <s v="CUST023"/>
    <s v="Paul Baker"/>
    <s v="P009"/>
    <s v="Monitor"/>
    <s v="Electronics"/>
    <n v="5"/>
    <n v="249.99"/>
    <s v="Credit Card"/>
    <x v="1"/>
    <s v="Standard"/>
    <d v="2022-11-16T00:00:00"/>
    <n v="1249.95"/>
    <d v="2026-03-03T17:55:01"/>
    <d v="2026-03-03T17:55:01"/>
    <n v="104096.48"/>
    <n v="6"/>
    <n v="1499.94"/>
    <n v="124915.77599999995"/>
    <n v="93686.832000000068"/>
    <n v="113725.4044"/>
  </r>
  <r>
    <s v="TRX0017"/>
    <d v="2024-11-04T00:00:00"/>
    <s v="CUST026"/>
    <s v="Karen Hill"/>
    <s v="P007"/>
    <s v="Desk"/>
    <s v="Furniture"/>
    <n v="3"/>
    <n v="299.99"/>
    <s v="Credit Card"/>
    <x v="1"/>
    <s v="Standard"/>
    <d v="2021-11-02T00:00:00"/>
    <n v="899.97"/>
    <d v="2026-03-03T17:55:01"/>
    <d v="2026-03-03T17:55:01"/>
    <n v="102846.53"/>
    <n v="3.5999999999999996"/>
    <n v="1079.9639999999999"/>
    <n v="123415.83599999995"/>
    <n v="92561.877000000066"/>
    <n v="112359.83402499997"/>
  </r>
  <r>
    <s v="TRX0060"/>
    <d v="2024-11-07T00:00:00"/>
    <s v="CUST012"/>
    <s v="Patricia Moore"/>
    <s v="P010"/>
    <s v="Keyboard"/>
    <s v="Electronics"/>
    <n v="3"/>
    <n v="89.99"/>
    <s v="Credit Card"/>
    <x v="2"/>
    <s v="Premium"/>
    <d v="2021-08-12T00:00:00"/>
    <n v="269.97000000000003"/>
    <d v="2026-03-03T17:55:01"/>
    <d v="2026-03-03T17:55:01"/>
    <n v="101946.56"/>
    <n v="3.5999999999999996"/>
    <n v="323.96399999999994"/>
    <n v="122335.87199999997"/>
    <n v="91751.904000000082"/>
    <n v="111376.61679999997"/>
  </r>
  <r>
    <s v="TRX0109"/>
    <d v="2024-11-08T00:00:00"/>
    <s v="CUST010"/>
    <s v="Maria Garcia"/>
    <s v="P008"/>
    <s v="Bookshelf"/>
    <s v="Furniture"/>
    <n v="2"/>
    <n v="149.99"/>
    <s v="Credit Card"/>
    <x v="3"/>
    <s v="Premium"/>
    <d v="2022-10-14T00:00:00"/>
    <n v="299.98"/>
    <d v="2026-03-03T17:55:01"/>
    <d v="2026-03-03T17:55:01"/>
    <n v="101676.59000000001"/>
    <n v="2.4"/>
    <n v="359.976"/>
    <n v="122011.90799999997"/>
    <n v="91508.931000000084"/>
    <n v="111081.67457499998"/>
  </r>
  <r>
    <s v="TRX0090"/>
    <d v="2024-11-09T00:00:00"/>
    <s v="CUST020"/>
    <s v="Margaret Wright"/>
    <s v="P009"/>
    <s v="Monitor"/>
    <s v="Electronics"/>
    <n v="1"/>
    <n v="249.99"/>
    <s v="Credit Card"/>
    <x v="2"/>
    <s v="Premium"/>
    <d v="2022-09-24T00:00:00"/>
    <n v="249.99"/>
    <d v="2026-03-03T17:55:01"/>
    <d v="2026-03-03T17:55:01"/>
    <n v="101376.61"/>
    <n v="1.2"/>
    <n v="299.988"/>
    <n v="121651.93199999997"/>
    <n v="91238.949000000066"/>
    <n v="110753.94642499997"/>
  </r>
  <r>
    <s v="TRX0035"/>
    <d v="2024-11-11T00:00:00"/>
    <s v="CUST041"/>
    <s v="Peter Richardson"/>
    <s v="P003"/>
    <s v="Headphones"/>
    <s v="Electronics"/>
    <n v="3"/>
    <n v="149.99"/>
    <s v="Cash"/>
    <x v="2"/>
    <s v="Basic"/>
    <d v="2022-07-27T00:00:00"/>
    <n v="449.97"/>
    <d v="2026-03-03T17:55:01"/>
    <d v="2026-03-03T17:55:01"/>
    <n v="101126.62"/>
    <n v="3.5999999999999996"/>
    <n v="539.96399999999994"/>
    <n v="121351.94399999996"/>
    <n v="91013.958000000071"/>
    <n v="110480.83234999998"/>
  </r>
  <r>
    <s v="TRX0172"/>
    <d v="2024-11-11T00:00:00"/>
    <s v="CUST023"/>
    <s v="Paul Baker"/>
    <s v="P005"/>
    <s v="Blender"/>
    <s v="Appliances"/>
    <n v="5"/>
    <n v="59.99"/>
    <s v="PayPal"/>
    <x v="3"/>
    <s v="Premium"/>
    <d v="2022-05-13T00:00:00"/>
    <n v="299.95"/>
    <d v="2026-03-03T17:55:01"/>
    <d v="2026-03-03T17:55:01"/>
    <n v="100676.65"/>
    <n v="6"/>
    <n v="359.94"/>
    <n v="120811.97999999995"/>
    <n v="90608.985000000073"/>
    <n v="109989.24012499998"/>
  </r>
  <r>
    <s v="TRX0076"/>
    <d v="2024-11-11T00:00:00"/>
    <s v="CUST012"/>
    <s v="Patricia Moore"/>
    <s v="P009"/>
    <s v="Monitor"/>
    <s v="Electronics"/>
    <n v="4"/>
    <n v="249.99"/>
    <s v="Credit Card"/>
    <x v="3"/>
    <s v="Standard"/>
    <d v="2022-04-08T00:00:00"/>
    <n v="999.96"/>
    <d v="2026-03-03T17:55:01"/>
    <d v="2026-03-03T17:55:01"/>
    <n v="100376.7"/>
    <n v="4.8"/>
    <n v="1199.952"/>
    <n v="120452.03999999995"/>
    <n v="90339.030000000072"/>
    <n v="109661.54474999997"/>
  </r>
  <r>
    <s v="TRX0210"/>
    <d v="2024-11-12T00:00:00"/>
    <s v="CUST004"/>
    <s v="Sarah Davis"/>
    <s v="P008"/>
    <s v="Bookshelf"/>
    <s v="Furniture"/>
    <n v="5"/>
    <n v="149.99"/>
    <s v="PayPal"/>
    <x v="0"/>
    <s v="Basic"/>
    <d v="2022-12-06T00:00:00"/>
    <n v="749.95"/>
    <d v="2026-03-03T17:55:01"/>
    <d v="2026-03-03T17:55:01"/>
    <n v="99376.74"/>
    <n v="6"/>
    <n v="899.94"/>
    <n v="119252.08799999996"/>
    <n v="89439.066000000064"/>
    <n v="108569.08844999998"/>
  </r>
  <r>
    <s v="TRX0149"/>
    <d v="2024-11-12T00:00:00"/>
    <s v="CUST027"/>
    <s v="George Adams"/>
    <s v="P005"/>
    <s v="Blender"/>
    <s v="Appliances"/>
    <n v="3"/>
    <n v="59.99"/>
    <s v="Debit Card"/>
    <x v="1"/>
    <s v="Standard"/>
    <d v="2023-11-30T00:00:00"/>
    <n v="179.97"/>
    <d v="2026-03-03T17:55:01"/>
    <d v="2026-03-03T17:55:01"/>
    <n v="98626.79"/>
    <n v="3.5999999999999996"/>
    <n v="215.964"/>
    <n v="118352.14799999996"/>
    <n v="88764.111000000063"/>
    <n v="107749.768075"/>
  </r>
  <r>
    <s v="TRX0073"/>
    <d v="2024-11-17T00:00:00"/>
    <s v="CUST032"/>
    <s v="Sandra Phillips"/>
    <s v="P008"/>
    <s v="Bookshelf"/>
    <s v="Furniture"/>
    <n v="5"/>
    <n v="149.99"/>
    <s v="Cash"/>
    <x v="2"/>
    <s v="Basic"/>
    <d v="2022-11-04T00:00:00"/>
    <n v="749.95"/>
    <d v="2026-03-03T17:55:01"/>
    <d v="2026-03-03T17:55:01"/>
    <n v="98446.82"/>
    <n v="6"/>
    <n v="899.94"/>
    <n v="118136.18399999995"/>
    <n v="88602.138000000064"/>
    <n v="107553.15084999999"/>
  </r>
  <r>
    <s v="TRX0033"/>
    <d v="2024-11-17T00:00:00"/>
    <s v="CUST025"/>
    <s v="Mark Carter"/>
    <s v="P002"/>
    <s v="Smartphone"/>
    <s v="Electronics"/>
    <n v="2"/>
    <n v="699.99"/>
    <s v="PayPal"/>
    <x v="3"/>
    <s v="Standard"/>
    <d v="2022-07-28T00:00:00"/>
    <n v="1399.98"/>
    <d v="2026-03-03T17:55:01"/>
    <d v="2026-03-03T17:55:01"/>
    <n v="97696.87"/>
    <n v="2.4"/>
    <n v="1679.9759999999999"/>
    <n v="117236.24399999995"/>
    <n v="87927.183000000063"/>
    <n v="106733.830475"/>
  </r>
  <r>
    <s v="TRX0160"/>
    <d v="2024-11-21T00:00:00"/>
    <s v="CUST029"/>
    <s v="Edward Mitchell"/>
    <s v="P006"/>
    <s v="Office Chair"/>
    <s v="Furniture"/>
    <n v="4"/>
    <n v="199.99"/>
    <s v="Debit Card"/>
    <x v="0"/>
    <s v="Premium"/>
    <d v="2021-08-19T00:00:00"/>
    <n v="799.96"/>
    <d v="2026-03-03T17:55:01"/>
    <d v="2026-03-03T17:55:01"/>
    <n v="96296.890000000014"/>
    <n v="4.8"/>
    <n v="959.952"/>
    <n v="115556.26799999995"/>
    <n v="86667.201000000059"/>
    <n v="105204.35232499999"/>
  </r>
  <r>
    <s v="TRX0145"/>
    <d v="2024-11-23T00:00:00"/>
    <s v="CUST033"/>
    <s v="Frank Torres"/>
    <s v="P005"/>
    <s v="Blender"/>
    <s v="Appliances"/>
    <n v="1"/>
    <n v="59.99"/>
    <s v="Debit Card"/>
    <x v="3"/>
    <s v="Standard"/>
    <d v="2021-12-30T00:00:00"/>
    <n v="59.99"/>
    <d v="2026-03-03T17:55:01"/>
    <d v="2026-03-03T17:55:01"/>
    <n v="95496.930000000008"/>
    <n v="1.2"/>
    <n v="71.988"/>
    <n v="114596.31599999993"/>
    <n v="85947.237000000066"/>
    <n v="104330.39602499999"/>
  </r>
  <r>
    <s v="TRX0148"/>
    <d v="2024-11-23T00:00:00"/>
    <s v="CUST004"/>
    <s v="Sarah Davis"/>
    <s v="P002"/>
    <s v="Smartphone"/>
    <s v="Electronics"/>
    <n v="3"/>
    <n v="699.99"/>
    <s v="PayPal"/>
    <x v="3"/>
    <s v="Standard"/>
    <d v="2022-01-22T00:00:00"/>
    <n v="2099.9699999999998"/>
    <d v="2026-03-03T17:55:01"/>
    <d v="2026-03-03T17:55:01"/>
    <n v="95436.94"/>
    <n v="3.5999999999999996"/>
    <n v="2519.9639999999999"/>
    <n v="114524.32799999995"/>
    <n v="85893.246000000072"/>
    <n v="104264.85694999999"/>
  </r>
  <r>
    <s v="TRX0012"/>
    <d v="2024-11-26T00:00:00"/>
    <s v="CUST045"/>
    <s v="Douglas Watson"/>
    <s v="P009"/>
    <s v="Monitor"/>
    <s v="Electronics"/>
    <n v="5"/>
    <n v="249.99"/>
    <s v="Credit Card"/>
    <x v="2"/>
    <s v="Basic"/>
    <d v="2022-11-08T00:00:00"/>
    <n v="1249.95"/>
    <d v="2026-03-03T17:55:01"/>
    <d v="2026-03-03T17:55:01"/>
    <n v="93336.969999999987"/>
    <n v="6"/>
    <n v="1499.94"/>
    <n v="112004.36399999994"/>
    <n v="84003.273000000059"/>
    <n v="101970.63972499999"/>
  </r>
  <r>
    <s v="TRX0206"/>
    <d v="2024-11-27T00:00:00"/>
    <s v="CUST014"/>
    <s v="Linda Martin"/>
    <s v="P008"/>
    <s v="Bookshelf"/>
    <s v="Furniture"/>
    <n v="2"/>
    <n v="149.99"/>
    <s v="Cash"/>
    <x v="1"/>
    <s v="Standard"/>
    <d v="2023-06-24T00:00:00"/>
    <n v="299.98"/>
    <d v="2026-03-03T17:55:01"/>
    <d v="2026-03-03T17:55:01"/>
    <n v="92087.02"/>
    <n v="2.4"/>
    <n v="359.976"/>
    <n v="110504.42399999994"/>
    <n v="82878.318000000072"/>
    <n v="100605.06934999999"/>
  </r>
  <r>
    <s v="TRX0045"/>
    <d v="2024-12-01T00:00:00"/>
    <s v="CUST021"/>
    <s v="Kevin Scott"/>
    <s v="P007"/>
    <s v="Desk"/>
    <s v="Furniture"/>
    <n v="3"/>
    <n v="299.99"/>
    <s v="Cash"/>
    <x v="1"/>
    <s v="Premium"/>
    <d v="2022-04-08T00:00:00"/>
    <n v="899.97"/>
    <d v="2026-03-03T17:55:01"/>
    <d v="2026-03-03T17:55:01"/>
    <n v="91787.040000000008"/>
    <n v="3.5999999999999996"/>
    <n v="1079.9639999999999"/>
    <n v="110144.44799999995"/>
    <n v="82608.336000000068"/>
    <n v="100277.3412"/>
  </r>
  <r>
    <s v="TRX0094"/>
    <d v="2024-12-01T00:00:00"/>
    <s v="CUST017"/>
    <s v="Charles Allen"/>
    <s v="P009"/>
    <s v="Monitor"/>
    <s v="Electronics"/>
    <n v="5"/>
    <n v="249.99"/>
    <s v="Cash"/>
    <x v="0"/>
    <s v="Premium"/>
    <d v="2021-10-16T00:00:00"/>
    <n v="1249.95"/>
    <d v="2026-03-03T17:55:01"/>
    <d v="2026-03-03T17:55:01"/>
    <n v="90887.07"/>
    <n v="6"/>
    <n v="1499.94"/>
    <n v="109064.48399999994"/>
    <n v="81798.36300000007"/>
    <n v="99294.123974999995"/>
  </r>
  <r>
    <s v="TRX0133"/>
    <d v="2024-12-01T00:00:00"/>
    <s v="CUST013"/>
    <s v="Joseph Jackson"/>
    <s v="P003"/>
    <s v="Headphones"/>
    <s v="Electronics"/>
    <n v="2"/>
    <n v="149.99"/>
    <s v="Cash"/>
    <x v="1"/>
    <s v="Premium"/>
    <d v="2021-10-06T00:00:00"/>
    <n v="299.98"/>
    <d v="2026-03-03T17:55:01"/>
    <d v="2026-03-03T17:55:01"/>
    <n v="89637.12000000001"/>
    <n v="2.4"/>
    <n v="359.976"/>
    <n v="107564.54399999997"/>
    <n v="80673.408000000069"/>
    <n v="97928.553599999985"/>
  </r>
  <r>
    <s v="TRX0201"/>
    <d v="2024-12-01T00:00:00"/>
    <s v="CUST025"/>
    <s v="Mark Carter"/>
    <s v="P002"/>
    <s v="Smartphone"/>
    <s v="Electronics"/>
    <n v="5"/>
    <n v="699.99"/>
    <s v="Debit Card"/>
    <x v="3"/>
    <s v="Standard"/>
    <d v="2023-01-18T00:00:00"/>
    <n v="3499.95"/>
    <d v="2026-03-03T17:55:01"/>
    <d v="2026-03-03T17:55:01"/>
    <n v="89337.140000000014"/>
    <n v="6"/>
    <n v="4199.9400000000005"/>
    <n v="107204.56799999997"/>
    <n v="80403.42600000008"/>
    <n v="97600.825449999989"/>
  </r>
  <r>
    <s v="TRX0137"/>
    <d v="2024-12-03T00:00:00"/>
    <s v="CUST011"/>
    <s v="William White"/>
    <s v="P009"/>
    <s v="Monitor"/>
    <s v="Electronics"/>
    <n v="4"/>
    <n v="249.99"/>
    <s v="PayPal"/>
    <x v="4"/>
    <s v="Premium"/>
    <d v="2023-06-21T00:00:00"/>
    <n v="999.96"/>
    <d v="2026-03-03T17:55:01"/>
    <d v="2026-03-03T17:55:01"/>
    <n v="85837.190000000031"/>
    <n v="4.8"/>
    <n v="1199.952"/>
    <n v="103004.62799999997"/>
    <n v="77253.471000000063"/>
    <n v="93777.130075000023"/>
  </r>
  <r>
    <s v="TRX0066"/>
    <d v="2024-12-04T00:00:00"/>
    <s v="CUST024"/>
    <s v="Dorothy Nelson"/>
    <s v="P002"/>
    <s v="Smartphone"/>
    <s v="Electronics"/>
    <n v="4"/>
    <n v="699.99"/>
    <s v="Credit Card"/>
    <x v="2"/>
    <s v="Premium"/>
    <d v="2022-05-22T00:00:00"/>
    <n v="2799.96"/>
    <d v="2026-03-03T17:55:01"/>
    <d v="2026-03-03T17:55:01"/>
    <n v="84837.230000000025"/>
    <n v="4.8"/>
    <n v="3359.9519999999998"/>
    <n v="101804.67599999998"/>
    <n v="76353.507000000071"/>
    <n v="92684.673775000032"/>
  </r>
  <r>
    <s v="TRX0180"/>
    <d v="2024-12-09T00:00:00"/>
    <s v="CUST036"/>
    <s v="Nancy Collins"/>
    <s v="P009"/>
    <s v="Monitor"/>
    <s v="Electronics"/>
    <n v="2"/>
    <n v="249.99"/>
    <s v="Credit Card"/>
    <x v="0"/>
    <s v="Premium"/>
    <d v="2021-07-19T00:00:00"/>
    <n v="499.98"/>
    <d v="2026-03-03T17:55:01"/>
    <d v="2026-03-03T17:55:01"/>
    <n v="82037.270000000019"/>
    <n v="2.4"/>
    <n v="599.976"/>
    <n v="98444.723999999958"/>
    <n v="73833.543000000078"/>
    <n v="89625.717475000027"/>
  </r>
  <r>
    <s v="TRX0082"/>
    <d v="2024-12-09T00:00:00"/>
    <s v="CUST005"/>
    <s v="James Johnson"/>
    <s v="P005"/>
    <s v="Blender"/>
    <s v="Appliances"/>
    <n v="3"/>
    <n v="59.99"/>
    <s v="Cash"/>
    <x v="0"/>
    <s v="Premium"/>
    <d v="2023-05-06T00:00:00"/>
    <n v="179.97"/>
    <d v="2026-03-03T17:55:01"/>
    <d v="2026-03-03T17:55:01"/>
    <n v="81537.290000000023"/>
    <n v="3.5999999999999996"/>
    <n v="215.964"/>
    <n v="97844.747999999963"/>
    <n v="73383.56100000006"/>
    <n v="89079.489325000017"/>
  </r>
  <r>
    <s v="TRX0036"/>
    <d v="2024-12-09T00:00:00"/>
    <s v="CUST008"/>
    <s v="Jennifer Taylor"/>
    <s v="P004"/>
    <s v="Coffee Maker"/>
    <s v="Appliances"/>
    <n v="4"/>
    <n v="79.989999999999995"/>
    <s v="Debit Card"/>
    <x v="4"/>
    <s v="Standard"/>
    <d v="2022-12-26T00:00:00"/>
    <n v="319.95999999999998"/>
    <d v="2026-03-03T17:55:01"/>
    <d v="2026-03-03T17:55:01"/>
    <n v="81357.320000000007"/>
    <n v="4.8"/>
    <n v="383.95199999999994"/>
    <n v="97628.783999999956"/>
    <n v="73221.588000000062"/>
    <n v="88882.872100000022"/>
  </r>
  <r>
    <s v="TRX0198"/>
    <d v="2024-12-10T00:00:00"/>
    <s v="CUST030"/>
    <s v="Helen Roberts"/>
    <s v="P004"/>
    <s v="Coffee Maker"/>
    <s v="Appliances"/>
    <n v="3"/>
    <n v="79.989999999999995"/>
    <s v="Debit Card"/>
    <x v="4"/>
    <s v="Standard"/>
    <d v="2022-08-06T00:00:00"/>
    <n v="239.97"/>
    <d v="2026-03-03T17:55:01"/>
    <d v="2026-03-03T17:55:01"/>
    <n v="81037.360000000015"/>
    <n v="3.5999999999999996"/>
    <n v="287.96399999999994"/>
    <n v="97244.831999999966"/>
    <n v="72933.624000000054"/>
    <n v="88533.315800000026"/>
  </r>
  <r>
    <s v="TRX0032"/>
    <d v="2024-12-12T00:00:00"/>
    <s v="CUST041"/>
    <s v="Peter Richardson"/>
    <s v="P001"/>
    <s v="Laptop"/>
    <s v="Electronics"/>
    <n v="2"/>
    <n v="899.99"/>
    <s v="Cash"/>
    <x v="2"/>
    <s v="Basic"/>
    <d v="2021-07-29T00:00:00"/>
    <n v="1799.98"/>
    <d v="2026-03-03T17:55:01"/>
    <d v="2026-03-03T17:55:01"/>
    <n v="80797.390000000014"/>
    <n v="2.4"/>
    <n v="2159.9760000000001"/>
    <n v="96956.867999999959"/>
    <n v="72717.651000000042"/>
    <n v="88271.148575000043"/>
  </r>
  <r>
    <s v="TRX0081"/>
    <d v="2024-12-15T00:00:00"/>
    <s v="CUST007"/>
    <s v="David Martinez"/>
    <s v="P008"/>
    <s v="Bookshelf"/>
    <s v="Furniture"/>
    <n v="1"/>
    <n v="149.99"/>
    <s v="Debit Card"/>
    <x v="4"/>
    <s v="Standard"/>
    <d v="2023-10-01T00:00:00"/>
    <n v="149.99"/>
    <d v="2026-03-03T17:55:01"/>
    <d v="2026-03-03T17:55:01"/>
    <n v="78997.410000000018"/>
    <n v="1.2"/>
    <n v="179.988"/>
    <n v="94796.891999999963"/>
    <n v="71097.669000000053"/>
    <n v="86304.670425000033"/>
  </r>
  <r>
    <s v="TRX0224"/>
    <d v="2024-12-15T00:00:00"/>
    <s v="CUST031"/>
    <s v="Steven Turner"/>
    <s v="P007"/>
    <s v="Desk"/>
    <s v="Furniture"/>
    <n v="2"/>
    <n v="299.99"/>
    <s v="Cash"/>
    <x v="4"/>
    <s v="Premium"/>
    <d v="2022-06-12T00:00:00"/>
    <n v="599.98"/>
    <d v="2026-03-03T17:55:01"/>
    <d v="2026-03-03T17:55:01"/>
    <n v="78847.420000000013"/>
    <n v="2.4"/>
    <n v="719.976"/>
    <n v="94616.90399999998"/>
    <n v="70962.678000000044"/>
    <n v="86140.806350000043"/>
  </r>
  <r>
    <s v="TRX0028"/>
    <d v="2024-12-18T00:00:00"/>
    <s v="CUST002"/>
    <s v="Emma Wilson"/>
    <s v="P005"/>
    <s v="Blender"/>
    <s v="Appliances"/>
    <n v="2"/>
    <n v="59.99"/>
    <s v="Cash"/>
    <x v="3"/>
    <s v="Basic"/>
    <d v="2023-09-22T00:00:00"/>
    <n v="119.98"/>
    <d v="2026-03-03T17:55:01"/>
    <d v="2026-03-03T17:55:01"/>
    <n v="78247.440000000017"/>
    <n v="2.4"/>
    <n v="143.976"/>
    <n v="93896.927999999985"/>
    <n v="70422.696000000054"/>
    <n v="85485.328200000033"/>
  </r>
  <r>
    <s v="TRX0183"/>
    <d v="2024-12-19T00:00:00"/>
    <s v="CUST007"/>
    <s v="David Martinez"/>
    <s v="P010"/>
    <s v="Keyboard"/>
    <s v="Electronics"/>
    <n v="1"/>
    <n v="89.99"/>
    <s v="Debit Card"/>
    <x v="0"/>
    <s v="Standard"/>
    <d v="2022-07-18T00:00:00"/>
    <n v="89.99"/>
    <d v="2026-03-03T17:55:01"/>
    <d v="2026-03-03T17:55:01"/>
    <n v="78127.460000000021"/>
    <n v="1.2"/>
    <n v="107.98799999999999"/>
    <n v="93752.951999999961"/>
    <n v="70314.714000000051"/>
    <n v="85354.250050000031"/>
  </r>
  <r>
    <s v="TRX0163"/>
    <d v="2024-12-19T00:00:00"/>
    <s v="CUST019"/>
    <s v="Daniel King"/>
    <s v="P001"/>
    <s v="Laptop"/>
    <s v="Electronics"/>
    <n v="5"/>
    <n v="899.99"/>
    <s v="Debit Card"/>
    <x v="4"/>
    <s v="Standard"/>
    <d v="2022-03-05T00:00:00"/>
    <n v="4499.95"/>
    <d v="2026-03-03T17:55:01"/>
    <d v="2026-03-03T17:55:01"/>
    <n v="78037.470000000016"/>
    <n v="6"/>
    <n v="5399.9400000000005"/>
    <n v="93644.963999999978"/>
    <n v="70233.723000000042"/>
    <n v="85255.935975000044"/>
  </r>
  <r>
    <s v="TRX0046"/>
    <d v="2024-12-20T00:00:00"/>
    <s v="CUST003"/>
    <s v="Michael Brown"/>
    <s v="P008"/>
    <s v="Bookshelf"/>
    <s v="Furniture"/>
    <n v="2"/>
    <n v="149.99"/>
    <s v="Cash"/>
    <x v="1"/>
    <s v="Basic"/>
    <d v="2023-11-09T00:00:00"/>
    <n v="299.98"/>
    <d v="2026-03-03T17:55:01"/>
    <d v="2026-03-03T17:55:01"/>
    <n v="73537.52"/>
    <n v="2.4"/>
    <n v="359.976"/>
    <n v="88245.024000000005"/>
    <n v="66183.768000000055"/>
    <n v="80339.740600000019"/>
  </r>
  <r>
    <s v="TRX0164"/>
    <d v="2024-12-22T00:00:00"/>
    <s v="CUST014"/>
    <s v="Linda Martin"/>
    <s v="P003"/>
    <s v="Headphones"/>
    <s v="Electronics"/>
    <n v="2"/>
    <n v="149.99"/>
    <s v="Debit Card"/>
    <x v="3"/>
    <s v="Premium"/>
    <d v="2023-12-20T00:00:00"/>
    <n v="299.98"/>
    <d v="2026-03-03T17:55:01"/>
    <d v="2026-03-03T17:55:01"/>
    <n v="73237.540000000008"/>
    <n v="2.4"/>
    <n v="359.976"/>
    <n v="87885.047999999981"/>
    <n v="65913.786000000036"/>
    <n v="80012.012450000024"/>
  </r>
  <r>
    <s v="TRX0008"/>
    <d v="2024-12-22T00:00:00"/>
    <s v="CUST007"/>
    <s v="David Martinez"/>
    <s v="P008"/>
    <s v="Bookshelf"/>
    <s v="Furniture"/>
    <n v="3"/>
    <n v="149.99"/>
    <s v="Debit Card"/>
    <x v="2"/>
    <s v="Standard"/>
    <d v="2021-11-22T00:00:00"/>
    <n v="449.97"/>
    <d v="2026-03-03T17:55:01"/>
    <d v="2026-03-03T17:55:01"/>
    <n v="72937.56"/>
    <n v="3.5999999999999996"/>
    <n v="539.96399999999994"/>
    <n v="87525.071999999986"/>
    <n v="65643.804000000062"/>
    <n v="79684.284300000028"/>
  </r>
  <r>
    <s v="TRX0171"/>
    <d v="2024-12-23T00:00:00"/>
    <s v="CUST021"/>
    <s v="Kevin Scott"/>
    <s v="P007"/>
    <s v="Desk"/>
    <s v="Furniture"/>
    <n v="2"/>
    <n v="299.99"/>
    <s v="PayPal"/>
    <x v="1"/>
    <s v="Basic"/>
    <d v="2022-06-09T00:00:00"/>
    <n v="599.98"/>
    <d v="2026-03-03T17:55:01"/>
    <d v="2026-03-03T17:55:01"/>
    <n v="72487.590000000011"/>
    <n v="2.4"/>
    <n v="719.976"/>
    <n v="86985.107999999978"/>
    <n v="65238.831000000042"/>
    <n v="79192.692075000028"/>
  </r>
  <r>
    <s v="TRX0143"/>
    <d v="2024-12-28T00:00:00"/>
    <s v="CUST003"/>
    <s v="Michael Brown"/>
    <s v="P007"/>
    <s v="Desk"/>
    <s v="Furniture"/>
    <n v="2"/>
    <n v="299.99"/>
    <s v="Cash"/>
    <x v="3"/>
    <s v="Basic"/>
    <d v="2022-07-29T00:00:00"/>
    <n v="599.98"/>
    <d v="2026-03-03T17:55:01"/>
    <d v="2026-03-03T17:55:01"/>
    <n v="71887.610000000015"/>
    <n v="2.4"/>
    <n v="719.976"/>
    <n v="86265.131999999983"/>
    <n v="64698.849000000053"/>
    <n v="78537.213925000018"/>
  </r>
  <r>
    <s v="TRX0165"/>
    <d v="2024-12-28T00:00:00"/>
    <s v="CUST030"/>
    <s v="Helen Roberts"/>
    <s v="P006"/>
    <s v="Office Chair"/>
    <s v="Furniture"/>
    <n v="4"/>
    <n v="199.99"/>
    <s v="Credit Card"/>
    <x v="0"/>
    <s v="Basic"/>
    <d v="2021-11-23T00:00:00"/>
    <n v="799.96"/>
    <d v="2026-03-03T17:55:01"/>
    <d v="2026-03-03T17:55:01"/>
    <n v="71287.630000000019"/>
    <n v="4.8"/>
    <n v="959.952"/>
    <n v="85545.155999999988"/>
    <n v="64158.867000000049"/>
    <n v="77881.735775000023"/>
  </r>
  <r>
    <s v="TRX0156"/>
    <d v="2024-12-29T00:00:00"/>
    <s v="CUST009"/>
    <s v="Robert Thomas"/>
    <s v="P010"/>
    <s v="Keyboard"/>
    <s v="Electronics"/>
    <n v="1"/>
    <n v="89.99"/>
    <s v="Credit Card"/>
    <x v="1"/>
    <s v="Premium"/>
    <d v="2022-01-30T00:00:00"/>
    <n v="89.99"/>
    <d v="2026-03-03T17:55:01"/>
    <d v="2026-03-03T17:55:01"/>
    <n v="70487.670000000013"/>
    <n v="1.2"/>
    <n v="107.98799999999999"/>
    <n v="84585.203999999969"/>
    <n v="63438.903000000057"/>
    <n v="77007.779475000032"/>
  </r>
  <r>
    <s v="TRX0147"/>
    <d v="2024-12-29T00:00:00"/>
    <s v="CUST036"/>
    <s v="Nancy Collins"/>
    <s v="P008"/>
    <s v="Bookshelf"/>
    <s v="Furniture"/>
    <n v="5"/>
    <n v="149.99"/>
    <s v="Cash"/>
    <x v="0"/>
    <s v="Premium"/>
    <d v="2024-02-25T00:00:00"/>
    <n v="749.95"/>
    <d v="2026-03-03T17:55:01"/>
    <d v="2026-03-03T17:55:01"/>
    <n v="70397.680000000008"/>
    <n v="6"/>
    <n v="899.94"/>
    <n v="84477.215999999986"/>
    <n v="63357.912000000048"/>
    <n v="76909.46540000003"/>
  </r>
  <r>
    <s v="TRX0207"/>
    <d v="2024-12-31T00:00:00"/>
    <s v="CUST025"/>
    <s v="Mark Carter"/>
    <s v="P001"/>
    <s v="Laptop"/>
    <s v="Electronics"/>
    <n v="1"/>
    <n v="899.99"/>
    <s v="PayPal"/>
    <x v="2"/>
    <s v="Premium"/>
    <d v="2023-05-04T00:00:00"/>
    <n v="899.99"/>
    <d v="2026-03-03T17:55:01"/>
    <d v="2026-03-03T17:55:01"/>
    <n v="69647.73000000001"/>
    <n v="1.2"/>
    <n v="1079.9880000000001"/>
    <n v="83577.276000000013"/>
    <n v="62682.957000000046"/>
    <n v="76090.14502500002"/>
  </r>
  <r>
    <s v="TRX0056"/>
    <d v="2025-01-03T00:00:00"/>
    <s v="CUST019"/>
    <s v="Daniel King"/>
    <s v="P010"/>
    <s v="Keyboard"/>
    <s v="Electronics"/>
    <n v="2"/>
    <n v="89.99"/>
    <s v="Credit Card"/>
    <x v="1"/>
    <s v="Premium"/>
    <d v="2022-01-03T00:00:00"/>
    <n v="179.98"/>
    <d v="2026-03-03T17:55:01"/>
    <d v="2026-03-03T17:55:01"/>
    <n v="68747.74000000002"/>
    <n v="2.4"/>
    <n v="215.97599999999997"/>
    <n v="82497.288"/>
    <n v="61872.966000000051"/>
    <n v="75106.905950000029"/>
  </r>
  <r>
    <s v="TRX0026"/>
    <d v="2025-01-04T00:00:00"/>
    <s v="CUST037"/>
    <s v="Arthur Edwards"/>
    <s v="P001"/>
    <s v="Laptop"/>
    <s v="Electronics"/>
    <n v="1"/>
    <n v="899.99"/>
    <s v="PayPal"/>
    <x v="2"/>
    <s v="Standard"/>
    <d v="2022-07-10T00:00:00"/>
    <n v="899.99"/>
    <d v="2026-03-03T17:55:01"/>
    <d v="2026-03-03T17:55:01"/>
    <n v="68567.760000000009"/>
    <n v="1.2"/>
    <n v="1079.9880000000001"/>
    <n v="82281.312000000005"/>
    <n v="61710.984000000048"/>
    <n v="74910.277800000025"/>
  </r>
  <r>
    <s v="TRX0237"/>
    <d v="2025-01-06T00:00:00"/>
    <s v="CUST006"/>
    <s v="Lisa Anderson"/>
    <s v="P003"/>
    <s v="Headphones"/>
    <s v="Electronics"/>
    <n v="5"/>
    <n v="149.99"/>
    <s v="PayPal"/>
    <x v="4"/>
    <s v="Premium"/>
    <d v="2022-09-20T00:00:00"/>
    <n v="749.95"/>
    <d v="2026-03-03T17:55:01"/>
    <d v="2026-03-03T17:55:01"/>
    <n v="67667.77"/>
    <n v="6"/>
    <n v="899.94"/>
    <n v="81201.323999999993"/>
    <n v="60900.993000000053"/>
    <n v="73927.038725000035"/>
  </r>
  <r>
    <s v="TRX0091"/>
    <d v="2025-01-06T00:00:00"/>
    <s v="CUST003"/>
    <s v="Michael Brown"/>
    <s v="P007"/>
    <s v="Desk"/>
    <s v="Furniture"/>
    <n v="3"/>
    <n v="299.99"/>
    <s v="Cash"/>
    <x v="1"/>
    <s v="Standard"/>
    <d v="2021-08-14T00:00:00"/>
    <n v="899.97"/>
    <d v="2026-03-03T17:55:01"/>
    <d v="2026-03-03T17:55:01"/>
    <n v="66917.820000000007"/>
    <n v="3.5999999999999996"/>
    <n v="1079.9639999999999"/>
    <n v="80301.383999999991"/>
    <n v="60226.038000000051"/>
    <n v="73107.718350000025"/>
  </r>
  <r>
    <s v="TRX0125"/>
    <d v="2025-01-09T00:00:00"/>
    <s v="CUST026"/>
    <s v="Karen Hill"/>
    <s v="P002"/>
    <s v="Smartphone"/>
    <s v="Electronics"/>
    <n v="3"/>
    <n v="699.99"/>
    <s v="Credit Card"/>
    <x v="0"/>
    <s v="Premium"/>
    <d v="2023-06-28T00:00:00"/>
    <n v="2099.9699999999998"/>
    <d v="2026-03-03T17:55:01"/>
    <d v="2026-03-03T17:55:01"/>
    <n v="66017.850000000006"/>
    <n v="3.5999999999999996"/>
    <n v="2519.9639999999999"/>
    <n v="79221.419999999984"/>
    <n v="59416.065000000053"/>
    <n v="72124.501125000024"/>
  </r>
  <r>
    <s v="TRX0223"/>
    <d v="2025-01-10T00:00:00"/>
    <s v="CUST036"/>
    <s v="Nancy Collins"/>
    <s v="P006"/>
    <s v="Office Chair"/>
    <s v="Furniture"/>
    <n v="5"/>
    <n v="199.99"/>
    <s v="PayPal"/>
    <x v="0"/>
    <s v="Standard"/>
    <d v="2022-03-13T00:00:00"/>
    <n v="999.95"/>
    <d v="2026-03-03T17:55:01"/>
    <d v="2026-03-03T17:55:01"/>
    <n v="63917.880000000019"/>
    <n v="6"/>
    <n v="1199.94"/>
    <n v="76701.456000000006"/>
    <n v="57526.092000000055"/>
    <n v="69830.283900000024"/>
  </r>
  <r>
    <s v="TRX0243"/>
    <d v="2025-01-10T00:00:00"/>
    <s v="CUST048"/>
    <s v="Virginia Sanders"/>
    <s v="P009"/>
    <s v="Monitor"/>
    <s v="Electronics"/>
    <n v="5"/>
    <n v="249.99"/>
    <s v="Credit Card"/>
    <x v="1"/>
    <s v="Basic"/>
    <d v="2024-02-08T00:00:00"/>
    <n v="1249.95"/>
    <d v="2026-03-03T17:55:01"/>
    <d v="2026-03-03T17:55:01"/>
    <n v="62917.930000000022"/>
    <n v="6"/>
    <n v="1499.94"/>
    <n v="75501.515999999974"/>
    <n v="56626.137000000039"/>
    <n v="68737.838525000014"/>
  </r>
  <r>
    <s v="TRX0084"/>
    <d v="2025-01-11T00:00:00"/>
    <s v="CUST031"/>
    <s v="Steven Turner"/>
    <s v="P003"/>
    <s v="Headphones"/>
    <s v="Electronics"/>
    <n v="4"/>
    <n v="149.99"/>
    <s v="Debit Card"/>
    <x v="4"/>
    <s v="Standard"/>
    <d v="2021-12-06T00:00:00"/>
    <n v="599.96"/>
    <d v="2026-03-03T17:55:01"/>
    <d v="2026-03-03T17:55:01"/>
    <n v="61667.980000000032"/>
    <n v="4.8"/>
    <n v="719.952"/>
    <n v="74001.575999999972"/>
    <n v="55501.182000000037"/>
    <n v="67372.268150000018"/>
  </r>
  <r>
    <s v="TRX0238"/>
    <d v="2025-01-11T00:00:00"/>
    <s v="CUST038"/>
    <s v="Michelle Rogers"/>
    <s v="P002"/>
    <s v="Smartphone"/>
    <s v="Electronics"/>
    <n v="3"/>
    <n v="699.99"/>
    <s v="Cash"/>
    <x v="2"/>
    <s v="Premium"/>
    <d v="2022-02-10T00:00:00"/>
    <n v="2099.9699999999998"/>
    <d v="2026-03-03T17:55:01"/>
    <d v="2026-03-03T17:55:01"/>
    <n v="61068.020000000033"/>
    <n v="3.5999999999999996"/>
    <n v="2519.9639999999999"/>
    <n v="73281.623999999982"/>
    <n v="54961.21800000003"/>
    <n v="66716.811850000027"/>
  </r>
  <r>
    <s v="TRX0102"/>
    <d v="2025-01-13T00:00:00"/>
    <s v="CUST045"/>
    <s v="Douglas Watson"/>
    <s v="P004"/>
    <s v="Coffee Maker"/>
    <s v="Appliances"/>
    <n v="1"/>
    <n v="79.989999999999995"/>
    <s v="Credit Card"/>
    <x v="1"/>
    <s v="Basic"/>
    <d v="2024-01-31T00:00:00"/>
    <n v="79.989999999999995"/>
    <d v="2026-03-03T17:55:01"/>
    <d v="2026-03-03T17:55:01"/>
    <n v="58968.050000000017"/>
    <n v="1.2"/>
    <n v="95.987999999999985"/>
    <n v="70761.66"/>
    <n v="53071.245000000017"/>
    <n v="64422.59462500002"/>
  </r>
  <r>
    <s v="TRX0022"/>
    <d v="2025-01-13T00:00:00"/>
    <s v="CUST025"/>
    <s v="Mark Carter"/>
    <s v="P007"/>
    <s v="Desk"/>
    <s v="Furniture"/>
    <n v="1"/>
    <n v="299.99"/>
    <s v="Credit Card"/>
    <x v="2"/>
    <s v="Basic"/>
    <d v="2021-08-28T00:00:00"/>
    <n v="299.99"/>
    <d v="2026-03-03T17:55:01"/>
    <d v="2026-03-03T17:55:01"/>
    <n v="58888.060000000019"/>
    <n v="1.2"/>
    <n v="359.988"/>
    <n v="70665.671999999991"/>
    <n v="52999.254000000023"/>
    <n v="64335.205550000021"/>
  </r>
  <r>
    <s v="TRX0087"/>
    <d v="2025-01-14T00:00:00"/>
    <s v="CUST028"/>
    <s v="Betty Campbell"/>
    <s v="P009"/>
    <s v="Monitor"/>
    <s v="Electronics"/>
    <n v="4"/>
    <n v="249.99"/>
    <s v="Credit Card"/>
    <x v="2"/>
    <s v="Premium"/>
    <d v="2021-09-21T00:00:00"/>
    <n v="999.96"/>
    <d v="2026-03-03T17:55:01"/>
    <d v="2026-03-03T17:55:01"/>
    <n v="58588.070000000014"/>
    <n v="4.8"/>
    <n v="1199.952"/>
    <n v="70305.684000000008"/>
    <n v="52729.263000000014"/>
    <n v="64007.466475000016"/>
  </r>
  <r>
    <s v="TRX0107"/>
    <d v="2025-01-14T00:00:00"/>
    <s v="CUST030"/>
    <s v="Helen Roberts"/>
    <s v="P003"/>
    <s v="Headphones"/>
    <s v="Electronics"/>
    <n v="2"/>
    <n v="149.99"/>
    <s v="Cash"/>
    <x v="2"/>
    <s v="Standard"/>
    <d v="2022-12-18T00:00:00"/>
    <n v="299.98"/>
    <d v="2026-03-03T17:55:01"/>
    <d v="2026-03-03T17:55:01"/>
    <n v="57588.110000000015"/>
    <n v="2.4"/>
    <n v="359.976"/>
    <n v="69105.731999999989"/>
    <n v="51829.299000000021"/>
    <n v="62915.01017500001"/>
  </r>
  <r>
    <s v="TRX0051"/>
    <d v="2025-01-14T00:00:00"/>
    <s v="CUST032"/>
    <s v="Sandra Phillips"/>
    <s v="P007"/>
    <s v="Desk"/>
    <s v="Furniture"/>
    <n v="3"/>
    <n v="299.99"/>
    <s v="Credit Card"/>
    <x v="1"/>
    <s v="Basic"/>
    <d v="2023-10-05T00:00:00"/>
    <n v="899.97"/>
    <d v="2026-03-03T17:55:01"/>
    <d v="2026-03-03T17:55:01"/>
    <n v="57288.130000000019"/>
    <n v="3.5999999999999996"/>
    <n v="1079.9639999999999"/>
    <n v="68745.756000000023"/>
    <n v="51559.317000000017"/>
    <n v="62587.282025000008"/>
  </r>
  <r>
    <s v="TRX0106"/>
    <d v="2025-01-16T00:00:00"/>
    <s v="CUST039"/>
    <s v="Lawrence Reed"/>
    <s v="P006"/>
    <s v="Office Chair"/>
    <s v="Furniture"/>
    <n v="4"/>
    <n v="199.99"/>
    <s v="Debit Card"/>
    <x v="1"/>
    <s v="Standard"/>
    <d v="2021-12-14T00:00:00"/>
    <n v="799.96"/>
    <d v="2026-03-03T17:55:01"/>
    <d v="2026-03-03T17:55:01"/>
    <n v="56388.160000000018"/>
    <n v="4.8"/>
    <n v="959.952"/>
    <n v="67665.792000000016"/>
    <n v="50749.344000000019"/>
    <n v="61604.0648"/>
  </r>
  <r>
    <s v="TRX0059"/>
    <d v="2025-01-16T00:00:00"/>
    <s v="CUST016"/>
    <s v="Elizabeth Hall"/>
    <s v="P007"/>
    <s v="Desk"/>
    <s v="Furniture"/>
    <n v="5"/>
    <n v="299.99"/>
    <s v="Debit Card"/>
    <x v="0"/>
    <s v="Basic"/>
    <d v="2021-08-23T00:00:00"/>
    <n v="1499.95"/>
    <d v="2026-03-03T17:55:01"/>
    <d v="2026-03-03T17:55:01"/>
    <n v="55588.200000000019"/>
    <n v="6"/>
    <n v="1799.94"/>
    <n v="66705.840000000026"/>
    <n v="50029.380000000012"/>
    <n v="60730.108500000002"/>
  </r>
  <r>
    <s v="TRX0072"/>
    <d v="2025-01-16T00:00:00"/>
    <s v="CUST009"/>
    <s v="Robert Thomas"/>
    <s v="P008"/>
    <s v="Bookshelf"/>
    <s v="Furniture"/>
    <n v="3"/>
    <n v="149.99"/>
    <s v="Credit Card"/>
    <x v="4"/>
    <s v="Standard"/>
    <d v="2021-07-18T00:00:00"/>
    <n v="449.97"/>
    <d v="2026-03-03T17:55:01"/>
    <d v="2026-03-03T17:55:01"/>
    <n v="54088.250000000015"/>
    <n v="3.5999999999999996"/>
    <n v="539.96399999999994"/>
    <n v="64905.900000000016"/>
    <n v="48679.42500000001"/>
    <n v="59091.413125000006"/>
  </r>
  <r>
    <s v="TRX0110"/>
    <d v="2025-01-19T00:00:00"/>
    <s v="CUST006"/>
    <s v="Lisa Anderson"/>
    <s v="P005"/>
    <s v="Blender"/>
    <s v="Appliances"/>
    <n v="5"/>
    <n v="59.99"/>
    <s v="Debit Card"/>
    <x v="4"/>
    <s v="Basic"/>
    <d v="2022-03-22T00:00:00"/>
    <n v="299.95"/>
    <d v="2026-03-03T17:55:01"/>
    <d v="2026-03-03T17:55:01"/>
    <n v="53638.280000000021"/>
    <n v="6"/>
    <n v="359.94"/>
    <n v="64365.936000000009"/>
    <n v="48274.452000000012"/>
    <n v="58599.820900000006"/>
  </r>
  <r>
    <s v="TRX0126"/>
    <d v="2025-01-25T00:00:00"/>
    <s v="CUST022"/>
    <s v="Susan Green"/>
    <s v="P005"/>
    <s v="Blender"/>
    <s v="Appliances"/>
    <n v="4"/>
    <n v="59.99"/>
    <s v="Debit Card"/>
    <x v="4"/>
    <s v="Standard"/>
    <d v="2022-01-03T00:00:00"/>
    <n v="239.96"/>
    <d v="2026-03-03T17:55:01"/>
    <d v="2026-03-03T17:55:01"/>
    <n v="53338.330000000016"/>
    <n v="4.8"/>
    <n v="287.952"/>
    <n v="64005.996000000006"/>
    <n v="48004.49700000001"/>
    <n v="58272.125525000003"/>
  </r>
  <r>
    <s v="TRX0159"/>
    <d v="2025-01-26T00:00:00"/>
    <s v="CUST024"/>
    <s v="Dorothy Nelson"/>
    <s v="P009"/>
    <s v="Monitor"/>
    <s v="Electronics"/>
    <n v="4"/>
    <n v="249.99"/>
    <s v="Debit Card"/>
    <x v="0"/>
    <s v="Premium"/>
    <d v="2023-10-18T00:00:00"/>
    <n v="999.96"/>
    <d v="2026-03-03T17:55:01"/>
    <d v="2026-03-03T17:55:01"/>
    <n v="53098.370000000017"/>
    <n v="4.8"/>
    <n v="1199.952"/>
    <n v="63718.044000000009"/>
    <n v="47788.533000000018"/>
    <n v="58009.969225000008"/>
  </r>
  <r>
    <s v="TRX0030"/>
    <d v="2025-01-29T00:00:00"/>
    <s v="CUST011"/>
    <s v="William White"/>
    <s v="P001"/>
    <s v="Laptop"/>
    <s v="Electronics"/>
    <n v="4"/>
    <n v="899.99"/>
    <s v="PayPal"/>
    <x v="0"/>
    <s v="Basic"/>
    <d v="2022-06-22T00:00:00"/>
    <n v="3599.96"/>
    <d v="2026-03-03T17:55:01"/>
    <d v="2026-03-03T17:55:01"/>
    <n v="52098.410000000018"/>
    <n v="4.8"/>
    <n v="4319.9520000000002"/>
    <n v="62518.092000000011"/>
    <n v="46888.56900000001"/>
    <n v="56917.512925000003"/>
  </r>
  <r>
    <s v="TRX0178"/>
    <d v="2025-01-29T00:00:00"/>
    <s v="CUST025"/>
    <s v="Mark Carter"/>
    <s v="P007"/>
    <s v="Desk"/>
    <s v="Furniture"/>
    <n v="3"/>
    <n v="299.99"/>
    <s v="Debit Card"/>
    <x v="3"/>
    <s v="Standard"/>
    <d v="2023-01-26T00:00:00"/>
    <n v="899.97"/>
    <d v="2026-03-03T17:55:01"/>
    <d v="2026-03-03T17:55:01"/>
    <n v="48498.450000000019"/>
    <n v="3.5999999999999996"/>
    <n v="1079.9639999999999"/>
    <n v="58198.14"/>
    <n v="43648.605000000003"/>
    <n v="52984.55662499999"/>
  </r>
  <r>
    <s v="TRX0188"/>
    <d v="2025-01-29T00:00:00"/>
    <s v="CUST045"/>
    <s v="Douglas Watson"/>
    <s v="P002"/>
    <s v="Smartphone"/>
    <s v="Electronics"/>
    <n v="2"/>
    <n v="699.99"/>
    <s v="Debit Card"/>
    <x v="0"/>
    <s v="Premium"/>
    <d v="2022-04-30T00:00:00"/>
    <n v="1399.98"/>
    <d v="2026-03-03T17:55:01"/>
    <d v="2026-03-03T17:55:01"/>
    <n v="47598.48000000001"/>
    <n v="2.4"/>
    <n v="1679.9759999999999"/>
    <n v="57118.175999999999"/>
    <n v="42838.632000000005"/>
    <n v="52001.33939999999"/>
  </r>
  <r>
    <s v="TRX0010"/>
    <d v="2025-01-31T00:00:00"/>
    <s v="CUST026"/>
    <s v="Karen Hill"/>
    <s v="P002"/>
    <s v="Smartphone"/>
    <s v="Electronics"/>
    <n v="4"/>
    <n v="699.99"/>
    <s v="Debit Card"/>
    <x v="3"/>
    <s v="Premium"/>
    <d v="2022-05-11T00:00:00"/>
    <n v="2799.96"/>
    <d v="2026-03-03T17:55:01"/>
    <d v="2026-03-03T17:55:01"/>
    <n v="46198.500000000007"/>
    <n v="4.8"/>
    <n v="3359.9519999999998"/>
    <n v="55438.2"/>
    <n v="41578.65"/>
    <n v="50471.861249999994"/>
  </r>
  <r>
    <s v="TRX0069"/>
    <d v="2025-01-31T00:00:00"/>
    <s v="CUST029"/>
    <s v="Edward Mitchell"/>
    <s v="P010"/>
    <s v="Keyboard"/>
    <s v="Electronics"/>
    <n v="2"/>
    <n v="89.99"/>
    <s v="Debit Card"/>
    <x v="1"/>
    <s v="Basic"/>
    <d v="2022-08-04T00:00:00"/>
    <n v="179.98"/>
    <d v="2026-03-03T17:55:01"/>
    <d v="2026-03-03T17:55:01"/>
    <n v="43398.540000000008"/>
    <n v="2.4"/>
    <n v="215.97599999999997"/>
    <n v="52078.248"/>
    <n v="39058.686000000009"/>
    <n v="47412.904949999989"/>
  </r>
  <r>
    <s v="TRX0166"/>
    <d v="2025-01-31T00:00:00"/>
    <s v="CUST003"/>
    <s v="Michael Brown"/>
    <s v="P010"/>
    <s v="Keyboard"/>
    <s v="Electronics"/>
    <n v="3"/>
    <n v="89.99"/>
    <s v="Debit Card"/>
    <x v="1"/>
    <s v="Premium"/>
    <d v="2024-01-16T00:00:00"/>
    <n v="269.97000000000003"/>
    <d v="2026-03-03T17:55:01"/>
    <d v="2026-03-03T17:55:01"/>
    <n v="43218.560000000012"/>
    <n v="3.5999999999999996"/>
    <n v="323.96399999999994"/>
    <n v="51862.272000000004"/>
    <n v="38896.704000000005"/>
    <n v="47216.276799999985"/>
  </r>
  <r>
    <s v="TRX0219"/>
    <d v="2025-02-04T00:00:00"/>
    <s v="CUST037"/>
    <s v="Arthur Edwards"/>
    <s v="P005"/>
    <s v="Blender"/>
    <s v="Appliances"/>
    <n v="1"/>
    <n v="59.99"/>
    <s v="Debit Card"/>
    <x v="0"/>
    <s v="Standard"/>
    <d v="2023-04-29T00:00:00"/>
    <n v="59.99"/>
    <d v="2026-03-03T17:55:01"/>
    <d v="2026-03-03T17:55:01"/>
    <n v="42948.590000000011"/>
    <n v="1.2"/>
    <n v="71.988"/>
    <n v="51538.308000000005"/>
    <n v="38653.731000000007"/>
    <n v="46921.334574999986"/>
  </r>
  <r>
    <s v="TRX0024"/>
    <d v="2025-02-07T00:00:00"/>
    <s v="CUST042"/>
    <s v="Ruth Brooks"/>
    <s v="P008"/>
    <s v="Bookshelf"/>
    <s v="Furniture"/>
    <n v="3"/>
    <n v="149.99"/>
    <s v="Debit Card"/>
    <x v="2"/>
    <s v="Premium"/>
    <d v="2022-01-03T00:00:00"/>
    <n v="449.97"/>
    <d v="2026-03-03T17:55:01"/>
    <d v="2026-03-03T17:55:01"/>
    <n v="42888.600000000013"/>
    <n v="3.5999999999999996"/>
    <n v="539.96399999999994"/>
    <n v="51466.320000000007"/>
    <n v="38599.740000000005"/>
    <n v="46855.795499999986"/>
  </r>
  <r>
    <s v="TRX0105"/>
    <d v="2025-02-07T00:00:00"/>
    <s v="CUST048"/>
    <s v="Virginia Sanders"/>
    <s v="P007"/>
    <s v="Desk"/>
    <s v="Furniture"/>
    <n v="5"/>
    <n v="299.99"/>
    <s v="Credit Card"/>
    <x v="1"/>
    <s v="Basic"/>
    <d v="2023-02-02T00:00:00"/>
    <n v="1499.95"/>
    <d v="2026-03-03T17:55:01"/>
    <d v="2026-03-03T17:55:01"/>
    <n v="42438.630000000012"/>
    <n v="6"/>
    <n v="1799.94"/>
    <n v="50926.355999999992"/>
    <n v="38194.767000000007"/>
    <n v="46364.203274999993"/>
  </r>
  <r>
    <s v="TRX0011"/>
    <d v="2025-02-08T00:00:00"/>
    <s v="CUST040"/>
    <s v="Sharon Butler"/>
    <s v="P005"/>
    <s v="Blender"/>
    <s v="Appliances"/>
    <n v="5"/>
    <n v="59.99"/>
    <s v="Debit Card"/>
    <x v="0"/>
    <s v="Standard"/>
    <d v="2023-09-08T00:00:00"/>
    <n v="299.95"/>
    <d v="2026-03-03T17:55:01"/>
    <d v="2026-03-03T17:55:01"/>
    <n v="40938.680000000015"/>
    <n v="6"/>
    <n v="359.94"/>
    <n v="49126.415999999997"/>
    <n v="36844.812000000005"/>
    <n v="44725.507899999997"/>
  </r>
  <r>
    <s v="TRX0187"/>
    <d v="2025-02-13T00:00:00"/>
    <s v="CUST036"/>
    <s v="Nancy Collins"/>
    <s v="P004"/>
    <s v="Coffee Maker"/>
    <s v="Appliances"/>
    <n v="3"/>
    <n v="79.989999999999995"/>
    <s v="Cash"/>
    <x v="4"/>
    <s v="Premium"/>
    <d v="2021-08-28T00:00:00"/>
    <n v="239.97"/>
    <d v="2026-03-03T17:55:01"/>
    <d v="2026-03-03T17:55:01"/>
    <n v="40638.730000000018"/>
    <n v="3.5999999999999996"/>
    <n v="287.96399999999994"/>
    <n v="48766.475999999995"/>
    <n v="36574.857000000004"/>
    <n v="44397.812524999994"/>
  </r>
  <r>
    <s v="TRX0089"/>
    <d v="2025-02-16T00:00:00"/>
    <s v="CUST021"/>
    <s v="Kevin Scott"/>
    <s v="P006"/>
    <s v="Office Chair"/>
    <s v="Furniture"/>
    <n v="3"/>
    <n v="199.99"/>
    <s v="Cash"/>
    <x v="0"/>
    <s v="Basic"/>
    <d v="2022-06-23T00:00:00"/>
    <n v="599.97"/>
    <d v="2026-03-03T17:55:01"/>
    <d v="2026-03-03T17:55:01"/>
    <n v="40398.760000000017"/>
    <n v="3.5999999999999996"/>
    <n v="719.96399999999994"/>
    <n v="48478.511999999995"/>
    <n v="36358.883999999998"/>
    <n v="44135.645299999996"/>
  </r>
  <r>
    <s v="TRX0196"/>
    <d v="2025-02-16T00:00:00"/>
    <s v="CUST023"/>
    <s v="Paul Baker"/>
    <s v="P010"/>
    <s v="Keyboard"/>
    <s v="Electronics"/>
    <n v="2"/>
    <n v="89.99"/>
    <s v="PayPal"/>
    <x v="0"/>
    <s v="Basic"/>
    <d v="2023-11-27T00:00:00"/>
    <n v="179.98"/>
    <d v="2026-03-03T17:55:01"/>
    <d v="2026-03-03T17:55:01"/>
    <n v="39798.790000000015"/>
    <n v="2.4"/>
    <n v="215.97599999999997"/>
    <n v="47758.547999999995"/>
    <n v="35818.911"/>
    <n v="43480.178074999996"/>
  </r>
  <r>
    <s v="TRX0118"/>
    <d v="2025-02-17T00:00:00"/>
    <s v="CUST015"/>
    <s v="Richard Lee"/>
    <s v="P008"/>
    <s v="Bookshelf"/>
    <s v="Furniture"/>
    <n v="2"/>
    <n v="149.99"/>
    <s v="Cash"/>
    <x v="1"/>
    <s v="Premium"/>
    <d v="2022-06-16T00:00:00"/>
    <n v="299.98"/>
    <d v="2026-03-03T17:55:01"/>
    <d v="2026-03-03T17:55:01"/>
    <n v="39618.810000000012"/>
    <n v="2.4"/>
    <n v="359.976"/>
    <n v="47542.572"/>
    <n v="35656.929000000004"/>
    <n v="43283.549924999992"/>
  </r>
  <r>
    <s v="TRX0179"/>
    <d v="2025-02-19T00:00:00"/>
    <s v="CUST029"/>
    <s v="Edward Mitchell"/>
    <s v="P002"/>
    <s v="Smartphone"/>
    <s v="Electronics"/>
    <n v="5"/>
    <n v="699.99"/>
    <s v="PayPal"/>
    <x v="1"/>
    <s v="Premium"/>
    <d v="2024-03-01T00:00:00"/>
    <n v="3499.95"/>
    <d v="2026-03-03T17:55:01"/>
    <d v="2026-03-03T17:55:01"/>
    <n v="39318.830000000009"/>
    <n v="6"/>
    <n v="4199.9400000000005"/>
    <n v="47182.595999999998"/>
    <n v="35386.947"/>
    <n v="42955.821774999997"/>
  </r>
  <r>
    <s v="TRX0168"/>
    <d v="2025-02-19T00:00:00"/>
    <s v="CUST003"/>
    <s v="Michael Brown"/>
    <s v="P008"/>
    <s v="Bookshelf"/>
    <s v="Furniture"/>
    <n v="3"/>
    <n v="149.99"/>
    <s v="PayPal"/>
    <x v="0"/>
    <s v="Standard"/>
    <d v="2022-03-13T00:00:00"/>
    <n v="449.97"/>
    <d v="2026-03-03T17:55:01"/>
    <d v="2026-03-03T17:55:01"/>
    <n v="35818.880000000005"/>
    <n v="3.5999999999999996"/>
    <n v="539.96399999999994"/>
    <n v="42982.656000000003"/>
    <n v="32236.992000000006"/>
    <n v="39132.126400000001"/>
  </r>
  <r>
    <s v="TRX0214"/>
    <d v="2025-02-20T00:00:00"/>
    <s v="CUST018"/>
    <s v="Barbara Young"/>
    <s v="P001"/>
    <s v="Laptop"/>
    <s v="Electronics"/>
    <n v="3"/>
    <n v="899.99"/>
    <s v="Cash"/>
    <x v="4"/>
    <s v="Standard"/>
    <d v="2022-02-21T00:00:00"/>
    <n v="2699.97"/>
    <d v="2026-03-03T17:55:01"/>
    <d v="2026-03-03T17:55:01"/>
    <n v="35368.910000000011"/>
    <n v="3.5999999999999996"/>
    <n v="3239.9639999999995"/>
    <n v="42442.69200000001"/>
    <n v="31832.019000000008"/>
    <n v="38640.534175000001"/>
  </r>
  <r>
    <s v="TRX0221"/>
    <d v="2025-02-20T00:00:00"/>
    <s v="CUST033"/>
    <s v="Frank Torres"/>
    <s v="P006"/>
    <s v="Office Chair"/>
    <s v="Furniture"/>
    <n v="3"/>
    <n v="199.99"/>
    <s v="Cash"/>
    <x v="3"/>
    <s v="Premium"/>
    <d v="2022-09-19T00:00:00"/>
    <n v="599.97"/>
    <d v="2026-03-03T17:55:01"/>
    <d v="2026-03-03T17:55:01"/>
    <n v="32668.94000000001"/>
    <n v="3.5999999999999996"/>
    <n v="719.96399999999994"/>
    <n v="39202.727999999996"/>
    <n v="29402.046000000009"/>
    <n v="35690.81695"/>
  </r>
  <r>
    <s v="TRX0083"/>
    <d v="2025-02-22T00:00:00"/>
    <s v="CUST017"/>
    <s v="Charles Allen"/>
    <s v="P007"/>
    <s v="Desk"/>
    <s v="Furniture"/>
    <n v="5"/>
    <n v="299.99"/>
    <s v="Cash"/>
    <x v="3"/>
    <s v="Standard"/>
    <d v="2023-08-04T00:00:00"/>
    <n v="1499.95"/>
    <d v="2026-03-03T17:55:01"/>
    <d v="2026-03-03T17:55:01"/>
    <n v="32068.970000000008"/>
    <n v="6"/>
    <n v="1799.94"/>
    <n v="38482.763999999996"/>
    <n v="28862.073000000011"/>
    <n v="35035.349725"/>
  </r>
  <r>
    <s v="TRX0151"/>
    <d v="2025-02-22T00:00:00"/>
    <s v="CUST040"/>
    <s v="Sharon Butler"/>
    <s v="P002"/>
    <s v="Smartphone"/>
    <s v="Electronics"/>
    <n v="1"/>
    <n v="699.99"/>
    <s v="PayPal"/>
    <x v="3"/>
    <s v="Basic"/>
    <d v="2023-01-08T00:00:00"/>
    <n v="699.99"/>
    <d v="2026-03-03T17:55:01"/>
    <d v="2026-03-03T17:55:01"/>
    <n v="30569.020000000004"/>
    <n v="1.2"/>
    <n v="839.98799999999994"/>
    <n v="36682.824000000001"/>
    <n v="27512.118000000009"/>
    <n v="33396.654349999997"/>
  </r>
  <r>
    <s v="TRX0047"/>
    <d v="2025-02-23T00:00:00"/>
    <s v="CUST042"/>
    <s v="Ruth Brooks"/>
    <s v="P002"/>
    <s v="Smartphone"/>
    <s v="Electronics"/>
    <n v="1"/>
    <n v="699.99"/>
    <s v="Cash"/>
    <x v="2"/>
    <s v="Premium"/>
    <d v="2022-01-22T00:00:00"/>
    <n v="699.99"/>
    <d v="2026-03-03T17:55:01"/>
    <d v="2026-03-03T17:55:01"/>
    <n v="29869.030000000002"/>
    <n v="1.2"/>
    <n v="839.98799999999994"/>
    <n v="35842.836000000003"/>
    <n v="26882.127000000008"/>
    <n v="32631.915274999999"/>
  </r>
  <r>
    <s v="TRX0200"/>
    <d v="2025-02-23T00:00:00"/>
    <s v="CUST037"/>
    <s v="Arthur Edwards"/>
    <s v="P008"/>
    <s v="Bookshelf"/>
    <s v="Furniture"/>
    <n v="4"/>
    <n v="149.99"/>
    <s v="PayPal"/>
    <x v="2"/>
    <s v="Premium"/>
    <d v="2021-08-04T00:00:00"/>
    <n v="599.96"/>
    <d v="2026-03-03T17:55:01"/>
    <d v="2026-03-03T17:55:01"/>
    <n v="29169.040000000005"/>
    <n v="4.8"/>
    <n v="719.952"/>
    <n v="35002.847999999998"/>
    <n v="26252.136000000013"/>
    <n v="31867.176200000002"/>
  </r>
  <r>
    <s v="TRX0062"/>
    <d v="2025-02-23T00:00:00"/>
    <s v="CUST016"/>
    <s v="Elizabeth Hall"/>
    <s v="P010"/>
    <s v="Keyboard"/>
    <s v="Electronics"/>
    <n v="5"/>
    <n v="89.99"/>
    <s v="PayPal"/>
    <x v="3"/>
    <s v="Premium"/>
    <d v="2023-08-02T00:00:00"/>
    <n v="449.95"/>
    <d v="2026-03-03T17:55:01"/>
    <d v="2026-03-03T17:55:01"/>
    <n v="28569.080000000005"/>
    <n v="6"/>
    <n v="539.93999999999994"/>
    <n v="34282.896000000001"/>
    <n v="25712.172000000013"/>
    <n v="31211.7199"/>
  </r>
  <r>
    <s v="TRX0182"/>
    <d v="2025-02-24T00:00:00"/>
    <s v="CUST031"/>
    <s v="Steven Turner"/>
    <s v="P006"/>
    <s v="Office Chair"/>
    <s v="Furniture"/>
    <n v="2"/>
    <n v="199.99"/>
    <s v="Cash"/>
    <x v="0"/>
    <s v="Premium"/>
    <d v="2022-01-12T00:00:00"/>
    <n v="399.98"/>
    <d v="2026-03-03T17:55:01"/>
    <d v="2026-03-03T17:55:01"/>
    <n v="28119.130000000005"/>
    <n v="2.4"/>
    <n v="479.976"/>
    <n v="33742.956000000006"/>
    <n v="25307.217000000011"/>
    <n v="30720.149525000001"/>
  </r>
  <r>
    <s v="TRX0229"/>
    <d v="2025-02-27T00:00:00"/>
    <s v="CUST015"/>
    <s v="Richard Lee"/>
    <s v="P005"/>
    <s v="Blender"/>
    <s v="Appliances"/>
    <n v="4"/>
    <n v="59.99"/>
    <s v="Cash"/>
    <x v="3"/>
    <s v="Standard"/>
    <d v="2023-05-24T00:00:00"/>
    <n v="239.96"/>
    <d v="2026-03-03T17:55:01"/>
    <d v="2026-03-03T17:55:01"/>
    <n v="27719.150000000005"/>
    <n v="4.8"/>
    <n v="287.952"/>
    <n v="33262.980000000003"/>
    <n v="24947.235000000008"/>
    <n v="30283.171375000002"/>
  </r>
  <r>
    <s v="TRX0048"/>
    <d v="2025-02-27T00:00:00"/>
    <s v="CUST048"/>
    <s v="Virginia Sanders"/>
    <s v="P007"/>
    <s v="Desk"/>
    <s v="Furniture"/>
    <n v="2"/>
    <n v="299.99"/>
    <s v="PayPal"/>
    <x v="1"/>
    <s v="Basic"/>
    <d v="2022-01-15T00:00:00"/>
    <n v="599.98"/>
    <d v="2026-03-03T17:55:01"/>
    <d v="2026-03-03T17:55:01"/>
    <n v="27479.190000000002"/>
    <n v="2.4"/>
    <n v="719.976"/>
    <n v="32975.027999999998"/>
    <n v="24731.271000000008"/>
    <n v="30021.015074999999"/>
  </r>
  <r>
    <s v="TRX0227"/>
    <d v="2025-03-02T00:00:00"/>
    <s v="CUST017"/>
    <s v="Charles Allen"/>
    <s v="P008"/>
    <s v="Bookshelf"/>
    <s v="Furniture"/>
    <n v="2"/>
    <n v="149.99"/>
    <s v="Cash"/>
    <x v="0"/>
    <s v="Basic"/>
    <d v="2023-05-22T00:00:00"/>
    <n v="299.98"/>
    <d v="2026-03-03T17:55:01"/>
    <d v="2026-03-03T17:55:01"/>
    <n v="26879.210000000003"/>
    <n v="2.4"/>
    <n v="359.976"/>
    <n v="32255.051999999996"/>
    <n v="24191.289000000012"/>
    <n v="29365.536925"/>
  </r>
  <r>
    <s v="TRX0226"/>
    <d v="2025-03-04T00:00:00"/>
    <s v="CUST039"/>
    <s v="Lawrence Reed"/>
    <s v="P002"/>
    <s v="Smartphone"/>
    <s v="Electronics"/>
    <n v="5"/>
    <n v="699.99"/>
    <s v="Debit Card"/>
    <x v="4"/>
    <s v="Premium"/>
    <d v="2023-08-23T00:00:00"/>
    <n v="3499.95"/>
    <d v="2026-03-03T17:55:01"/>
    <d v="2026-03-03T17:55:01"/>
    <n v="26579.230000000003"/>
    <n v="6"/>
    <n v="4199.9400000000005"/>
    <n v="31895.075999999997"/>
    <n v="23921.307000000008"/>
    <n v="29037.808775000001"/>
  </r>
  <r>
    <s v="TRX0053"/>
    <d v="2025-03-05T00:00:00"/>
    <s v="CUST043"/>
    <s v="Dennis Gray"/>
    <s v="P005"/>
    <s v="Blender"/>
    <s v="Appliances"/>
    <n v="5"/>
    <n v="59.99"/>
    <s v="Cash"/>
    <x v="3"/>
    <s v="Premium"/>
    <d v="2023-12-31T00:00:00"/>
    <n v="299.95"/>
    <d v="2026-03-03T17:55:01"/>
    <d v="2026-03-03T17:55:01"/>
    <n v="23079.280000000002"/>
    <n v="6"/>
    <n v="359.94"/>
    <n v="27695.135999999999"/>
    <n v="20771.352000000006"/>
    <n v="25214.113399999998"/>
  </r>
  <r>
    <s v="TRX0233"/>
    <d v="2025-03-07T00:00:00"/>
    <s v="CUST023"/>
    <s v="Paul Baker"/>
    <s v="P010"/>
    <s v="Keyboard"/>
    <s v="Electronics"/>
    <n v="2"/>
    <n v="89.99"/>
    <s v="Credit Card"/>
    <x v="3"/>
    <s v="Premium"/>
    <d v="2024-01-04T00:00:00"/>
    <n v="179.98"/>
    <d v="2026-03-03T17:55:01"/>
    <d v="2026-03-03T17:55:01"/>
    <n v="22779.33"/>
    <n v="2.4"/>
    <n v="215.97599999999997"/>
    <n v="27335.196"/>
    <n v="20501.397000000004"/>
    <n v="24886.418024999999"/>
  </r>
  <r>
    <s v="TRX0175"/>
    <d v="2025-03-07T00:00:00"/>
    <s v="CUST030"/>
    <s v="Helen Roberts"/>
    <s v="P009"/>
    <s v="Monitor"/>
    <s v="Electronics"/>
    <n v="5"/>
    <n v="249.99"/>
    <s v="Cash"/>
    <x v="4"/>
    <s v="Standard"/>
    <d v="2021-12-10T00:00:00"/>
    <n v="1249.95"/>
    <d v="2026-03-03T17:55:01"/>
    <d v="2026-03-03T17:55:01"/>
    <n v="22599.350000000002"/>
    <n v="6"/>
    <n v="1499.94"/>
    <n v="27119.219999999998"/>
    <n v="20339.415000000008"/>
    <n v="24689.789874999999"/>
  </r>
  <r>
    <s v="TRX0186"/>
    <d v="2025-03-08T00:00:00"/>
    <s v="CUST039"/>
    <s v="Lawrence Reed"/>
    <s v="P008"/>
    <s v="Bookshelf"/>
    <s v="Furniture"/>
    <n v="2"/>
    <n v="149.99"/>
    <s v="PayPal"/>
    <x v="0"/>
    <s v="Premium"/>
    <d v="2022-03-12T00:00:00"/>
    <n v="299.98"/>
    <d v="2026-03-03T17:55:01"/>
    <d v="2026-03-03T17:55:01"/>
    <n v="21349.4"/>
    <n v="2.4"/>
    <n v="359.976"/>
    <n v="25619.279999999995"/>
    <n v="19214.460000000006"/>
    <n v="23324.219499999999"/>
  </r>
  <r>
    <s v="TRX0016"/>
    <d v="2025-03-08T00:00:00"/>
    <s v="CUST035"/>
    <s v="Harry Morgan"/>
    <s v="P001"/>
    <s v="Laptop"/>
    <s v="Electronics"/>
    <n v="5"/>
    <n v="899.99"/>
    <s v="PayPal"/>
    <x v="4"/>
    <s v="Premium"/>
    <d v="2024-04-07T00:00:00"/>
    <n v="4499.95"/>
    <d v="2026-03-03T17:55:01"/>
    <d v="2026-03-03T17:55:01"/>
    <n v="21049.42"/>
    <n v="6"/>
    <n v="5399.9400000000005"/>
    <n v="25259.303999999996"/>
    <n v="18944.478000000003"/>
    <n v="22996.49135"/>
  </r>
  <r>
    <s v="TRX0199"/>
    <d v="2025-03-08T00:00:00"/>
    <s v="CUST017"/>
    <s v="Charles Allen"/>
    <s v="P008"/>
    <s v="Bookshelf"/>
    <s v="Furniture"/>
    <n v="4"/>
    <n v="149.99"/>
    <s v="Cash"/>
    <x v="0"/>
    <s v="Standard"/>
    <d v="2023-12-03T00:00:00"/>
    <n v="599.96"/>
    <d v="2026-03-03T17:55:01"/>
    <d v="2026-03-03T17:55:01"/>
    <n v="16549.469999999998"/>
    <n v="4.8"/>
    <n v="719.952"/>
    <n v="19859.363999999998"/>
    <n v="14894.522999999999"/>
    <n v="18080.295975000001"/>
  </r>
  <r>
    <s v="TRX0038"/>
    <d v="2025-03-10T00:00:00"/>
    <s v="CUST035"/>
    <s v="Harry Morgan"/>
    <s v="P009"/>
    <s v="Monitor"/>
    <s v="Electronics"/>
    <n v="1"/>
    <n v="249.99"/>
    <s v="Cash"/>
    <x v="2"/>
    <s v="Standard"/>
    <d v="2023-07-10T00:00:00"/>
    <n v="249.99"/>
    <d v="2026-03-03T17:55:01"/>
    <d v="2026-03-03T17:55:01"/>
    <n v="15949.509999999995"/>
    <n v="1.2"/>
    <n v="299.988"/>
    <n v="19139.411999999997"/>
    <n v="14354.558999999999"/>
    <n v="17424.839674999999"/>
  </r>
  <r>
    <s v="TRX0014"/>
    <d v="2025-03-18T00:00:00"/>
    <s v="CUST033"/>
    <s v="Frank Torres"/>
    <s v="P005"/>
    <s v="Blender"/>
    <s v="Appliances"/>
    <n v="2"/>
    <n v="59.99"/>
    <s v="Credit Card"/>
    <x v="3"/>
    <s v="Basic"/>
    <d v="2023-09-24T00:00:00"/>
    <n v="119.98"/>
    <d v="2026-03-03T17:55:01"/>
    <d v="2026-03-03T17:55:01"/>
    <n v="15699.519999999995"/>
    <n v="2.4"/>
    <n v="143.976"/>
    <n v="18839.423999999995"/>
    <n v="14129.567999999999"/>
    <n v="17151.725599999998"/>
  </r>
  <r>
    <s v="TRX0003"/>
    <d v="2025-03-21T00:00:00"/>
    <s v="CUST002"/>
    <s v="Emma Wilson"/>
    <s v="P008"/>
    <s v="Bookshelf"/>
    <s v="Furniture"/>
    <n v="2"/>
    <n v="149.99"/>
    <s v="Cash"/>
    <x v="3"/>
    <s v="Premium"/>
    <d v="2023-11-03T00:00:00"/>
    <n v="299.98"/>
    <d v="2026-03-03T17:55:01"/>
    <d v="2026-03-03T17:55:01"/>
    <n v="15579.539999999995"/>
    <n v="2.4"/>
    <n v="359.976"/>
    <n v="18695.447999999997"/>
    <n v="14021.585999999999"/>
    <n v="17020.64745"/>
  </r>
  <r>
    <s v="TRX0124"/>
    <d v="2025-03-21T00:00:00"/>
    <s v="CUST040"/>
    <s v="Sharon Butler"/>
    <s v="P001"/>
    <s v="Laptop"/>
    <s v="Electronics"/>
    <n v="3"/>
    <n v="899.99"/>
    <s v="Debit Card"/>
    <x v="2"/>
    <s v="Premium"/>
    <d v="2022-11-11T00:00:00"/>
    <n v="2699.97"/>
    <d v="2026-03-03T17:55:01"/>
    <d v="2026-03-03T17:55:01"/>
    <n v="15279.559999999996"/>
    <n v="3.5999999999999996"/>
    <n v="3239.9639999999995"/>
    <n v="18335.471999999998"/>
    <n v="13751.603999999999"/>
    <n v="16692.919299999998"/>
  </r>
  <r>
    <s v="TRX0013"/>
    <d v="2025-03-21T00:00:00"/>
    <s v="CUST024"/>
    <s v="Dorothy Nelson"/>
    <s v="P001"/>
    <s v="Laptop"/>
    <s v="Electronics"/>
    <n v="3"/>
    <n v="899.99"/>
    <s v="PayPal"/>
    <x v="2"/>
    <s v="Basic"/>
    <d v="2023-02-18T00:00:00"/>
    <n v="2699.97"/>
    <d v="2026-03-03T17:55:01"/>
    <d v="2026-03-03T17:55:01"/>
    <n v="12579.589999999997"/>
    <n v="3.5999999999999996"/>
    <n v="3239.9639999999995"/>
    <n v="15095.508"/>
    <n v="11321.630999999999"/>
    <n v="13743.202075000001"/>
  </r>
  <r>
    <s v="TRX0019"/>
    <d v="2025-03-23T00:00:00"/>
    <s v="CUST023"/>
    <s v="Paul Baker"/>
    <s v="P007"/>
    <s v="Desk"/>
    <s v="Furniture"/>
    <n v="3"/>
    <n v="299.99"/>
    <s v="Credit Card"/>
    <x v="3"/>
    <s v="Premium"/>
    <d v="2023-11-04T00:00:00"/>
    <n v="899.97"/>
    <d v="2026-03-03T17:55:01"/>
    <d v="2026-03-03T17:55:01"/>
    <n v="9879.619999999999"/>
    <n v="3.5999999999999996"/>
    <n v="1079.9639999999999"/>
    <n v="11855.544"/>
    <n v="8891.6579999999994"/>
    <n v="10793.484850000001"/>
  </r>
  <r>
    <s v="TRX0050"/>
    <d v="2025-03-24T00:00:00"/>
    <s v="CUST001"/>
    <s v="John Smith"/>
    <s v="P008"/>
    <s v="Bookshelf"/>
    <s v="Furniture"/>
    <n v="4"/>
    <n v="149.99"/>
    <s v="PayPal"/>
    <x v="3"/>
    <s v="Standard"/>
    <d v="2021-12-30T00:00:00"/>
    <n v="599.96"/>
    <d v="2026-03-03T17:55:01"/>
    <d v="2026-03-03T17:55:01"/>
    <n v="8979.65"/>
    <n v="4.8"/>
    <n v="719.952"/>
    <n v="10775.58"/>
    <n v="8081.6849999999995"/>
    <n v="9810.2676250000004"/>
  </r>
  <r>
    <s v="TRX0152"/>
    <d v="2025-03-27T00:00:00"/>
    <s v="CUST044"/>
    <s v="Cynthia Price"/>
    <s v="P004"/>
    <s v="Coffee Maker"/>
    <s v="Appliances"/>
    <n v="4"/>
    <n v="79.989999999999995"/>
    <s v="Credit Card"/>
    <x v="0"/>
    <s v="Basic"/>
    <d v="2023-12-28T00:00:00"/>
    <n v="319.95999999999998"/>
    <d v="2026-03-03T17:55:01"/>
    <d v="2026-03-03T17:55:01"/>
    <n v="8379.6899999999987"/>
    <n v="4.8"/>
    <n v="383.95199999999994"/>
    <n v="10055.627999999999"/>
    <n v="7541.7209999999995"/>
    <n v="9154.8113250000006"/>
  </r>
  <r>
    <s v="TRX0213"/>
    <d v="2025-03-29T00:00:00"/>
    <s v="CUST020"/>
    <s v="Margaret Wright"/>
    <s v="P010"/>
    <s v="Keyboard"/>
    <s v="Electronics"/>
    <n v="5"/>
    <n v="89.99"/>
    <s v="PayPal"/>
    <x v="1"/>
    <s v="Basic"/>
    <d v="2022-05-23T00:00:00"/>
    <n v="449.95"/>
    <d v="2026-03-03T17:55:01"/>
    <d v="2026-03-03T17:55:01"/>
    <n v="8059.7300000000005"/>
    <n v="6"/>
    <n v="539.93999999999994"/>
    <n v="9671.6760000000013"/>
    <n v="7253.7569999999996"/>
    <n v="8805.2550250000004"/>
  </r>
  <r>
    <s v="TRX0197"/>
    <d v="2025-03-30T00:00:00"/>
    <s v="CUST048"/>
    <s v="Virginia Sanders"/>
    <s v="P008"/>
    <s v="Bookshelf"/>
    <s v="Furniture"/>
    <n v="3"/>
    <n v="149.99"/>
    <s v="PayPal"/>
    <x v="0"/>
    <s v="Standard"/>
    <d v="2023-09-02T00:00:00"/>
    <n v="449.97"/>
    <d v="2026-03-03T17:55:01"/>
    <d v="2026-03-03T17:55:01"/>
    <n v="7609.78"/>
    <n v="3.5999999999999996"/>
    <n v="539.96399999999994"/>
    <n v="9131.735999999999"/>
    <n v="6848.8019999999997"/>
    <n v="8313.6846499999992"/>
  </r>
  <r>
    <s v="TRX0250"/>
    <d v="2025-03-30T00:00:00"/>
    <s v="CUST026"/>
    <s v="Karen Hill"/>
    <s v="P010"/>
    <s v="Keyboard"/>
    <s v="Electronics"/>
    <n v="2"/>
    <n v="89.99"/>
    <s v="Debit Card"/>
    <x v="3"/>
    <s v="Premium"/>
    <d v="2021-11-22T00:00:00"/>
    <n v="179.98"/>
    <d v="2026-03-03T17:55:01"/>
    <d v="2026-03-03T17:55:01"/>
    <n v="7159.81"/>
    <n v="2.4"/>
    <n v="215.97599999999997"/>
    <n v="8591.771999999999"/>
    <n v="6443.8289999999997"/>
    <n v="7822.0924249999989"/>
  </r>
  <r>
    <s v="TRX0068"/>
    <d v="2025-04-01T00:00:00"/>
    <s v="CUST044"/>
    <s v="Cynthia Price"/>
    <s v="P002"/>
    <s v="Smartphone"/>
    <s v="Electronics"/>
    <n v="2"/>
    <n v="699.99"/>
    <s v="PayPal"/>
    <x v="2"/>
    <s v="Standard"/>
    <d v="2022-02-26T00:00:00"/>
    <n v="1399.98"/>
    <d v="2026-03-03T17:55:01"/>
    <d v="2026-03-03T17:55:01"/>
    <n v="6979.829999999999"/>
    <n v="2.4"/>
    <n v="1679.9759999999999"/>
    <n v="8375.7959999999985"/>
    <n v="6281.8469999999998"/>
    <n v="7625.4642749999985"/>
  </r>
  <r>
    <s v="TRX0144"/>
    <d v="2025-04-02T00:00:00"/>
    <s v="CUST029"/>
    <s v="Edward Mitchell"/>
    <s v="P001"/>
    <s v="Laptop"/>
    <s v="Electronics"/>
    <n v="3"/>
    <n v="899.99"/>
    <s v="Cash"/>
    <x v="0"/>
    <s v="Standard"/>
    <d v="2023-01-27T00:00:00"/>
    <n v="2699.97"/>
    <d v="2026-03-03T17:55:01"/>
    <d v="2026-03-03T17:55:01"/>
    <n v="5579.8499999999995"/>
    <n v="3.5999999999999996"/>
    <n v="3239.9639999999995"/>
    <n v="6695.8199999999988"/>
    <n v="5021.8649999999998"/>
    <n v="6095.9861249999994"/>
  </r>
  <r>
    <s v="TRX0039"/>
    <d v="2025-04-08T00:00:00"/>
    <s v="CUST048"/>
    <s v="Virginia Sanders"/>
    <s v="P004"/>
    <s v="Coffee Maker"/>
    <s v="Appliances"/>
    <n v="3"/>
    <n v="79.989999999999995"/>
    <s v="Credit Card"/>
    <x v="2"/>
    <s v="Basic"/>
    <d v="2021-11-11T00:00:00"/>
    <n v="239.97"/>
    <d v="2026-03-03T17:55:01"/>
    <d v="2026-03-03T17:55:01"/>
    <n v="2879.88"/>
    <n v="3.5999999999999996"/>
    <n v="287.96399999999994"/>
    <n v="3455.8559999999998"/>
    <n v="2591.8919999999998"/>
    <n v="3146.2688999999996"/>
  </r>
  <r>
    <s v="TRX0116"/>
    <d v="2025-04-09T00:00:00"/>
    <s v="CUST009"/>
    <s v="Robert Thomas"/>
    <s v="P010"/>
    <s v="Keyboard"/>
    <s v="Electronics"/>
    <n v="1"/>
    <n v="89.99"/>
    <s v="Debit Card"/>
    <x v="4"/>
    <s v="Basic"/>
    <d v="2024-02-24T00:00:00"/>
    <n v="89.99"/>
    <d v="2026-03-03T17:55:01"/>
    <d v="2026-03-03T17:55:01"/>
    <n v="2639.91"/>
    <n v="1.2"/>
    <n v="107.98799999999999"/>
    <n v="3167.8919999999998"/>
    <n v="2375.9189999999999"/>
    <n v="2884.1016749999994"/>
  </r>
  <r>
    <s v="TRX0120"/>
    <d v="2025-04-11T00:00:00"/>
    <s v="CUST045"/>
    <s v="Douglas Watson"/>
    <s v="P002"/>
    <s v="Smartphone"/>
    <s v="Electronics"/>
    <n v="3"/>
    <n v="699.99"/>
    <s v="PayPal"/>
    <x v="2"/>
    <s v="Basic"/>
    <d v="2022-12-14T00:00:00"/>
    <n v="2099.9699999999998"/>
    <d v="2026-03-03T17:55:01"/>
    <d v="2026-03-03T17:55:01"/>
    <n v="2549.92"/>
    <n v="3.5999999999999996"/>
    <n v="2519.9639999999999"/>
    <n v="3059.904"/>
    <n v="2294.9279999999999"/>
    <n v="2785.7875999999997"/>
  </r>
  <r>
    <s v="TRX0103"/>
    <d v="2025-04-11T00:00:00"/>
    <s v="CUST039"/>
    <s v="Lawrence Reed"/>
    <s v="P010"/>
    <s v="Keyboard"/>
    <s v="Electronics"/>
    <n v="2"/>
    <n v="89.99"/>
    <s v="Debit Card"/>
    <x v="4"/>
    <s v="Basic"/>
    <d v="2023-06-11T00:00:00"/>
    <n v="179.98"/>
    <d v="2026-03-03T17:55:01"/>
    <d v="2026-03-03T17:55:01"/>
    <n v="449.95000000000005"/>
    <n v="2.4"/>
    <n v="215.97599999999997"/>
    <n v="539.93999999999994"/>
    <n v="404.95500000000004"/>
    <n v="491.5703749999999"/>
  </r>
  <r>
    <s v="TRX0064"/>
    <d v="2025-04-11T00:00:00"/>
    <s v="CUST031"/>
    <s v="Steven Turner"/>
    <s v="P010"/>
    <s v="Keyboard"/>
    <s v="Electronics"/>
    <n v="3"/>
    <n v="89.99"/>
    <s v="Debit Card"/>
    <x v="2"/>
    <s v="Premium"/>
    <d v="2022-11-13T00:00:00"/>
    <n v="269.97000000000003"/>
    <d v="2026-03-03T17:55:01"/>
    <d v="2026-03-03T17:55:01"/>
    <n v="269.97000000000003"/>
    <n v="3.5999999999999996"/>
    <n v="323.96399999999994"/>
    <n v="323.96399999999994"/>
    <n v="242.97300000000001"/>
    <n v="294.9422249999999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x v="0"/>
    <x v="0"/>
    <s v="CUST023"/>
    <s v="Paul Baker"/>
    <s v="P009"/>
    <s v="Monitor"/>
    <s v="Electronics"/>
    <n v="3"/>
    <n v="249.99"/>
    <s v="Cash"/>
    <x v="0"/>
    <s v="Basic"/>
    <d v="2021-08-17T00:00:00"/>
    <n v="749.97"/>
    <d v="2026-03-03T18:05:23"/>
    <d v="2026-03-03T18:05:23"/>
    <n v="228922.50000000032"/>
    <n v="3.5999999999999996"/>
    <n v="899.96399999999994"/>
    <n v="274707"/>
    <n v="206030.24999999985"/>
    <n v="250097.83125000037"/>
  </r>
  <r>
    <x v="1"/>
    <x v="1"/>
    <s v="CUST013"/>
    <s v="Joseph Jackson"/>
    <s v="P009"/>
    <s v="Monitor"/>
    <s v="Electronics"/>
    <n v="3"/>
    <n v="249.99"/>
    <s v="Credit Card"/>
    <x v="0"/>
    <s v="Premium"/>
    <d v="2022-01-14T00:00:00"/>
    <n v="749.97"/>
    <d v="2026-03-03T18:05:23"/>
    <d v="2026-03-03T18:05:23"/>
    <n v="228442.50000000029"/>
    <n v="3.5999999999999996"/>
    <n v="899.96399999999994"/>
    <n v="274131"/>
    <n v="205598.24999999985"/>
    <n v="249573.43125000037"/>
  </r>
  <r>
    <x v="2"/>
    <x v="2"/>
    <s v="CUST021"/>
    <s v="Kevin Scott"/>
    <s v="P005"/>
    <s v="Blender"/>
    <s v="Appliances"/>
    <n v="3"/>
    <n v="59.99"/>
    <s v="PayPal"/>
    <x v="1"/>
    <s v="Standard"/>
    <d v="2023-12-02T00:00:00"/>
    <n v="179.97"/>
    <d v="2026-03-03T18:05:23"/>
    <d v="2026-03-03T18:05:23"/>
    <n v="227692.53000000029"/>
    <n v="3.5999999999999996"/>
    <n v="215.964"/>
    <n v="273231.03600000002"/>
    <n v="204923.27699999986"/>
    <n v="248754.08902500034"/>
  </r>
  <r>
    <x v="3"/>
    <x v="3"/>
    <s v="CUST046"/>
    <s v="Kathleen Bennett"/>
    <s v="P005"/>
    <s v="Blender"/>
    <s v="Appliances"/>
    <n v="3"/>
    <n v="59.99"/>
    <s v="Cash"/>
    <x v="2"/>
    <s v="Premium"/>
    <d v="2023-07-07T00:00:00"/>
    <n v="179.97"/>
    <d v="2026-03-03T18:05:23"/>
    <d v="2026-03-03T18:05:23"/>
    <n v="227512.56000000032"/>
    <n v="3.5999999999999996"/>
    <n v="215.964"/>
    <n v="273015.07200000004"/>
    <n v="204761.30399999983"/>
    <n v="248557.47180000035"/>
  </r>
  <r>
    <x v="4"/>
    <x v="3"/>
    <s v="CUST003"/>
    <s v="Michael Brown"/>
    <s v="P008"/>
    <s v="Bookshelf"/>
    <s v="Furniture"/>
    <n v="5"/>
    <n v="149.99"/>
    <s v="Credit Card"/>
    <x v="2"/>
    <s v="Premium"/>
    <d v="2024-01-04T00:00:00"/>
    <n v="749.95"/>
    <d v="2026-03-03T18:05:23"/>
    <d v="2026-03-03T18:05:23"/>
    <n v="227332.59000000032"/>
    <n v="6"/>
    <n v="899.94"/>
    <n v="272799.10800000007"/>
    <n v="204599.33099999983"/>
    <n v="248360.85457500035"/>
  </r>
  <r>
    <x v="5"/>
    <x v="4"/>
    <s v="CUST024"/>
    <s v="Dorothy Nelson"/>
    <s v="P005"/>
    <s v="Blender"/>
    <s v="Appliances"/>
    <n v="2"/>
    <n v="59.99"/>
    <s v="Cash"/>
    <x v="3"/>
    <s v="Standard"/>
    <d v="2022-07-04T00:00:00"/>
    <n v="119.98"/>
    <d v="2026-03-03T18:05:23"/>
    <d v="2026-03-03T18:05:23"/>
    <n v="226582.64000000031"/>
    <n v="2.4"/>
    <n v="143.976"/>
    <n v="271899.16800000006"/>
    <n v="203924.37599999987"/>
    <n v="247541.53420000034"/>
  </r>
  <r>
    <x v="6"/>
    <x v="4"/>
    <s v="CUST024"/>
    <s v="Dorothy Nelson"/>
    <s v="P003"/>
    <s v="Headphones"/>
    <s v="Electronics"/>
    <n v="5"/>
    <n v="149.99"/>
    <s v="Credit Card"/>
    <x v="0"/>
    <s v="Standard"/>
    <d v="2021-08-10T00:00:00"/>
    <n v="749.95"/>
    <d v="2026-03-03T18:05:23"/>
    <d v="2026-03-03T18:05:23"/>
    <n v="226462.66000000032"/>
    <n v="6"/>
    <n v="899.94"/>
    <n v="271755.19199999998"/>
    <n v="203816.39399999988"/>
    <n v="247410.45605000036"/>
  </r>
  <r>
    <x v="7"/>
    <x v="4"/>
    <s v="CUST017"/>
    <s v="Charles Allen"/>
    <s v="P005"/>
    <s v="Blender"/>
    <s v="Appliances"/>
    <n v="3"/>
    <n v="59.99"/>
    <s v="Debit Card"/>
    <x v="1"/>
    <s v="Basic"/>
    <d v="2023-03-22T00:00:00"/>
    <n v="179.97"/>
    <d v="2026-03-03T18:05:23"/>
    <d v="2026-03-03T18:05:23"/>
    <n v="225712.71000000031"/>
    <n v="3.5999999999999996"/>
    <n v="215.964"/>
    <n v="270855.25200000004"/>
    <n v="203141.43899999987"/>
    <n v="246591.13567500035"/>
  </r>
  <r>
    <x v="8"/>
    <x v="5"/>
    <s v="CUST009"/>
    <s v="Robert Thomas"/>
    <s v="P001"/>
    <s v="Laptop"/>
    <s v="Electronics"/>
    <n v="3"/>
    <n v="899.99"/>
    <s v="PayPal"/>
    <x v="4"/>
    <s v="Standard"/>
    <d v="2024-01-08T00:00:00"/>
    <n v="2699.97"/>
    <d v="2026-03-03T18:05:23"/>
    <d v="2026-03-03T18:05:23"/>
    <n v="225532.74000000031"/>
    <n v="3.5999999999999996"/>
    <n v="3239.9639999999995"/>
    <n v="270639.288"/>
    <n v="202979.46599999987"/>
    <n v="246394.51845000035"/>
  </r>
  <r>
    <x v="9"/>
    <x v="6"/>
    <s v="CUST026"/>
    <s v="Karen Hill"/>
    <s v="P005"/>
    <s v="Blender"/>
    <s v="Appliances"/>
    <n v="3"/>
    <n v="59.99"/>
    <s v="Cash"/>
    <x v="3"/>
    <s v="Premium"/>
    <d v="2023-10-08T00:00:00"/>
    <n v="179.97"/>
    <d v="2026-03-03T18:05:23"/>
    <d v="2026-03-03T18:05:23"/>
    <n v="222832.77000000031"/>
    <n v="3.5999999999999996"/>
    <n v="215.964"/>
    <n v="267399.32400000002"/>
    <n v="200549.49299999984"/>
    <n v="243444.80122500032"/>
  </r>
  <r>
    <x v="10"/>
    <x v="6"/>
    <s v="CUST022"/>
    <s v="Susan Green"/>
    <s v="P008"/>
    <s v="Bookshelf"/>
    <s v="Furniture"/>
    <n v="1"/>
    <n v="149.99"/>
    <s v="Credit Card"/>
    <x v="3"/>
    <s v="Standard"/>
    <d v="2023-06-26T00:00:00"/>
    <n v="149.99"/>
    <d v="2026-03-03T18:05:23"/>
    <d v="2026-03-03T18:05:23"/>
    <n v="222652.80000000031"/>
    <n v="1.2"/>
    <n v="179.988"/>
    <n v="267183.36000000004"/>
    <n v="200387.51999999984"/>
    <n v="243248.18400000033"/>
  </r>
  <r>
    <x v="11"/>
    <x v="6"/>
    <s v="CUST046"/>
    <s v="Kathleen Bennett"/>
    <s v="P008"/>
    <s v="Bookshelf"/>
    <s v="Furniture"/>
    <n v="5"/>
    <n v="149.99"/>
    <s v="Debit Card"/>
    <x v="2"/>
    <s v="Basic"/>
    <d v="2022-09-26T00:00:00"/>
    <n v="749.95"/>
    <d v="2026-03-03T18:05:23"/>
    <d v="2026-03-03T18:05:23"/>
    <n v="222502.81000000032"/>
    <n v="6"/>
    <n v="899.94"/>
    <n v="267003.37200000003"/>
    <n v="200252.52899999986"/>
    <n v="243084.31992500031"/>
  </r>
  <r>
    <x v="12"/>
    <x v="6"/>
    <s v="CUST041"/>
    <s v="Peter Richardson"/>
    <s v="P008"/>
    <s v="Bookshelf"/>
    <s v="Furniture"/>
    <n v="3"/>
    <n v="149.99"/>
    <s v="Cash"/>
    <x v="2"/>
    <s v="Premium"/>
    <d v="2022-09-02T00:00:00"/>
    <n v="449.97"/>
    <d v="2026-03-03T18:05:23"/>
    <d v="2026-03-03T18:05:23"/>
    <n v="221752.86000000031"/>
    <n v="3.5999999999999996"/>
    <n v="539.96399999999994"/>
    <n v="266103.43200000003"/>
    <n v="199577.57399999988"/>
    <n v="242264.99955000033"/>
  </r>
  <r>
    <x v="13"/>
    <x v="7"/>
    <s v="CUST043"/>
    <s v="Dennis Gray"/>
    <s v="P005"/>
    <s v="Blender"/>
    <s v="Appliances"/>
    <n v="3"/>
    <n v="59.99"/>
    <s v="Credit Card"/>
    <x v="2"/>
    <s v="Standard"/>
    <d v="2024-02-29T00:00:00"/>
    <n v="179.97"/>
    <d v="2026-03-03T18:05:23"/>
    <d v="2026-03-03T18:05:23"/>
    <n v="221302.89000000031"/>
    <n v="3.5999999999999996"/>
    <n v="215.964"/>
    <n v="265563.46800000005"/>
    <n v="199172.60099999985"/>
    <n v="241773.40732500033"/>
  </r>
  <r>
    <x v="14"/>
    <x v="7"/>
    <s v="CUST038"/>
    <s v="Michelle Rogers"/>
    <s v="P002"/>
    <s v="Smartphone"/>
    <s v="Electronics"/>
    <n v="3"/>
    <n v="699.99"/>
    <s v="Credit Card"/>
    <x v="3"/>
    <s v="Basic"/>
    <d v="2022-01-16T00:00:00"/>
    <n v="2099.9699999999998"/>
    <d v="2026-03-03T18:05:23"/>
    <d v="2026-03-03T18:05:23"/>
    <n v="221122.9200000003"/>
    <n v="3.5999999999999996"/>
    <n v="2519.9639999999999"/>
    <n v="265347.50400000007"/>
    <n v="199010.62799999985"/>
    <n v="241576.79010000033"/>
  </r>
  <r>
    <x v="15"/>
    <x v="7"/>
    <s v="CUST027"/>
    <s v="George Adams"/>
    <s v="P001"/>
    <s v="Laptop"/>
    <s v="Electronics"/>
    <n v="1"/>
    <n v="899.99"/>
    <s v="Debit Card"/>
    <x v="2"/>
    <s v="Standard"/>
    <d v="2022-12-25T00:00:00"/>
    <n v="899.99"/>
    <d v="2026-03-03T18:05:23"/>
    <d v="2026-03-03T18:05:23"/>
    <n v="219022.95000000027"/>
    <n v="1.2"/>
    <n v="1079.9880000000001"/>
    <n v="262827.54000000004"/>
    <n v="197120.65499999988"/>
    <n v="239282.5728750003"/>
  </r>
  <r>
    <x v="16"/>
    <x v="8"/>
    <s v="CUST025"/>
    <s v="Mark Carter"/>
    <s v="P008"/>
    <s v="Bookshelf"/>
    <s v="Furniture"/>
    <n v="4"/>
    <n v="149.99"/>
    <s v="Debit Card"/>
    <x v="2"/>
    <s v="Premium"/>
    <d v="2024-03-23T00:00:00"/>
    <n v="599.96"/>
    <d v="2026-03-03T18:05:23"/>
    <d v="2026-03-03T18:05:23"/>
    <n v="218122.96000000028"/>
    <n v="4.8"/>
    <n v="719.952"/>
    <n v="261747.55200000005"/>
    <n v="196310.6639999999"/>
    <n v="238299.33380000028"/>
  </r>
  <r>
    <x v="17"/>
    <x v="8"/>
    <s v="CUST010"/>
    <s v="Maria Garcia"/>
    <s v="P002"/>
    <s v="Smartphone"/>
    <s v="Electronics"/>
    <n v="2"/>
    <n v="699.99"/>
    <s v="Cash"/>
    <x v="2"/>
    <s v="Basic"/>
    <d v="2022-08-08T00:00:00"/>
    <n v="1399.98"/>
    <d v="2026-03-03T18:05:23"/>
    <d v="2026-03-03T18:05:23"/>
    <n v="217523.00000000029"/>
    <n v="2.4"/>
    <n v="1679.9759999999999"/>
    <n v="261027.60000000006"/>
    <n v="195770.6999999999"/>
    <n v="237643.87750000026"/>
  </r>
  <r>
    <x v="18"/>
    <x v="8"/>
    <s v="CUST025"/>
    <s v="Mark Carter"/>
    <s v="P001"/>
    <s v="Laptop"/>
    <s v="Electronics"/>
    <n v="4"/>
    <n v="899.99"/>
    <s v="Credit Card"/>
    <x v="3"/>
    <s v="Standard"/>
    <d v="2024-02-05T00:00:00"/>
    <n v="3599.96"/>
    <d v="2026-03-03T18:05:23"/>
    <d v="2026-03-03T18:05:23"/>
    <n v="216123.02000000028"/>
    <n v="4.8"/>
    <n v="4319.9520000000002"/>
    <n v="259347.62400000007"/>
    <n v="194510.71799999991"/>
    <n v="236114.39935000025"/>
  </r>
  <r>
    <x v="19"/>
    <x v="8"/>
    <s v="CUST048"/>
    <s v="Virginia Sanders"/>
    <s v="P009"/>
    <s v="Monitor"/>
    <s v="Electronics"/>
    <n v="3"/>
    <n v="249.99"/>
    <s v="Credit Card"/>
    <x v="2"/>
    <s v="Premium"/>
    <d v="2023-10-25T00:00:00"/>
    <n v="749.97"/>
    <d v="2026-03-03T18:05:23"/>
    <d v="2026-03-03T18:05:23"/>
    <n v="212523.06000000029"/>
    <n v="3.5999999999999996"/>
    <n v="899.96399999999994"/>
    <n v="255027.67200000008"/>
    <n v="191270.75399999993"/>
    <n v="232181.44305000026"/>
  </r>
  <r>
    <x v="20"/>
    <x v="9"/>
    <s v="CUST018"/>
    <s v="Barbara Young"/>
    <s v="P002"/>
    <s v="Smartphone"/>
    <s v="Electronics"/>
    <n v="5"/>
    <n v="699.99"/>
    <s v="Cash"/>
    <x v="3"/>
    <s v="Basic"/>
    <d v="2023-08-29T00:00:00"/>
    <n v="3499.95"/>
    <d v="2026-03-03T18:05:23"/>
    <d v="2026-03-03T18:05:23"/>
    <n v="211773.09000000029"/>
    <n v="6"/>
    <n v="4199.9400000000005"/>
    <n v="254127.7080000001"/>
    <n v="190595.7809999999"/>
    <n v="231362.10082500023"/>
  </r>
  <r>
    <x v="21"/>
    <x v="10"/>
    <s v="CUST012"/>
    <s v="Patricia Moore"/>
    <s v="P002"/>
    <s v="Smartphone"/>
    <s v="Electronics"/>
    <n v="4"/>
    <n v="699.99"/>
    <s v="Cash"/>
    <x v="4"/>
    <s v="Standard"/>
    <d v="2021-08-01T00:00:00"/>
    <n v="2799.96"/>
    <d v="2026-03-03T18:05:23"/>
    <d v="2026-03-03T18:05:23"/>
    <n v="208273.14000000028"/>
    <n v="4.8"/>
    <n v="3359.9519999999998"/>
    <n v="249927.76800000007"/>
    <n v="187445.82599999991"/>
    <n v="227538.40545000019"/>
  </r>
  <r>
    <x v="22"/>
    <x v="11"/>
    <s v="CUST044"/>
    <s v="Cynthia Price"/>
    <s v="P009"/>
    <s v="Monitor"/>
    <s v="Electronics"/>
    <n v="4"/>
    <n v="249.99"/>
    <s v="PayPal"/>
    <x v="2"/>
    <s v="Standard"/>
    <d v="2021-09-29T00:00:00"/>
    <n v="999.96"/>
    <d v="2026-03-03T18:05:23"/>
    <d v="2026-03-03T18:05:23"/>
    <n v="205473.18000000028"/>
    <n v="4.8"/>
    <n v="1199.952"/>
    <n v="246567.81600000011"/>
    <n v="184925.86199999994"/>
    <n v="224479.4491500002"/>
  </r>
  <r>
    <x v="23"/>
    <x v="12"/>
    <s v="CUST025"/>
    <s v="Mark Carter"/>
    <s v="P007"/>
    <s v="Desk"/>
    <s v="Furniture"/>
    <n v="4"/>
    <n v="299.99"/>
    <s v="Cash"/>
    <x v="3"/>
    <s v="Premium"/>
    <d v="2022-06-04T00:00:00"/>
    <n v="1199.96"/>
    <d v="2026-03-03T18:05:23"/>
    <d v="2026-03-03T18:05:23"/>
    <n v="204473.22000000026"/>
    <n v="4.8"/>
    <n v="1439.952"/>
    <n v="245367.86400000006"/>
    <n v="184025.8979999999"/>
    <n v="223386.99285000021"/>
  </r>
  <r>
    <x v="24"/>
    <x v="13"/>
    <s v="CUST036"/>
    <s v="Nancy Collins"/>
    <s v="P009"/>
    <s v="Monitor"/>
    <s v="Electronics"/>
    <n v="5"/>
    <n v="249.99"/>
    <s v="Credit Card"/>
    <x v="3"/>
    <s v="Standard"/>
    <d v="2021-11-25T00:00:00"/>
    <n v="1249.95"/>
    <d v="2026-03-03T18:05:23"/>
    <d v="2026-03-03T18:05:23"/>
    <n v="203273.26000000024"/>
    <n v="6"/>
    <n v="1499.94"/>
    <n v="243927.91200000007"/>
    <n v="182945.93399999989"/>
    <n v="222076.03655000022"/>
  </r>
  <r>
    <x v="25"/>
    <x v="14"/>
    <s v="CUST022"/>
    <s v="Susan Green"/>
    <s v="P007"/>
    <s v="Desk"/>
    <s v="Furniture"/>
    <n v="5"/>
    <n v="299.99"/>
    <s v="PayPal"/>
    <x v="4"/>
    <s v="Basic"/>
    <d v="2023-08-30T00:00:00"/>
    <n v="1499.95"/>
    <d v="2026-03-03T18:05:23"/>
    <d v="2026-03-03T18:05:23"/>
    <n v="202023.31000000023"/>
    <n v="6"/>
    <n v="1799.94"/>
    <n v="242427.97200000007"/>
    <n v="181820.9789999999"/>
    <n v="220710.46617500024"/>
  </r>
  <r>
    <x v="26"/>
    <x v="14"/>
    <s v="CUST014"/>
    <s v="Linda Martin"/>
    <s v="P004"/>
    <s v="Coffee Maker"/>
    <s v="Appliances"/>
    <n v="3"/>
    <n v="79.989999999999995"/>
    <s v="PayPal"/>
    <x v="4"/>
    <s v="Premium"/>
    <d v="2023-03-27T00:00:00"/>
    <n v="239.97"/>
    <d v="2026-03-03T18:05:23"/>
    <d v="2026-03-03T18:05:23"/>
    <n v="200523.36000000022"/>
    <n v="3.5999999999999996"/>
    <n v="287.96399999999994"/>
    <n v="240628.03200000006"/>
    <n v="180471.02399999992"/>
    <n v="219071.7708000002"/>
  </r>
  <r>
    <x v="27"/>
    <x v="14"/>
    <s v="CUST012"/>
    <s v="Patricia Moore"/>
    <s v="P010"/>
    <s v="Keyboard"/>
    <s v="Electronics"/>
    <n v="5"/>
    <n v="89.99"/>
    <s v="Cash"/>
    <x v="2"/>
    <s v="Premium"/>
    <d v="2022-12-24T00:00:00"/>
    <n v="449.95"/>
    <d v="2026-03-03T18:05:23"/>
    <d v="2026-03-03T18:05:23"/>
    <n v="200283.39000000022"/>
    <n v="6"/>
    <n v="539.93999999999994"/>
    <n v="240340.06800000009"/>
    <n v="180255.05099999992"/>
    <n v="218809.60357500022"/>
  </r>
  <r>
    <x v="28"/>
    <x v="15"/>
    <s v="CUST030"/>
    <s v="Helen Roberts"/>
    <s v="P005"/>
    <s v="Blender"/>
    <s v="Appliances"/>
    <n v="2"/>
    <n v="59.99"/>
    <s v="Debit Card"/>
    <x v="0"/>
    <s v="Standard"/>
    <d v="2023-10-15T00:00:00"/>
    <n v="119.98"/>
    <d v="2026-03-03T18:05:23"/>
    <d v="2026-03-03T18:05:23"/>
    <n v="199833.44000000024"/>
    <n v="2.4"/>
    <n v="143.976"/>
    <n v="239800.12800000008"/>
    <n v="179850.0959999999"/>
    <n v="218318.03320000021"/>
  </r>
  <r>
    <x v="29"/>
    <x v="16"/>
    <s v="CUST029"/>
    <s v="Edward Mitchell"/>
    <s v="P005"/>
    <s v="Blender"/>
    <s v="Appliances"/>
    <n v="4"/>
    <n v="59.99"/>
    <s v="Debit Card"/>
    <x v="4"/>
    <s v="Standard"/>
    <d v="2022-11-02T00:00:00"/>
    <n v="239.96"/>
    <d v="2026-03-03T18:05:23"/>
    <d v="2026-03-03T18:05:23"/>
    <n v="199713.46000000022"/>
    <n v="4.8"/>
    <n v="287.952"/>
    <n v="239656.15200000009"/>
    <n v="179742.11399999994"/>
    <n v="218186.95505000022"/>
  </r>
  <r>
    <x v="30"/>
    <x v="16"/>
    <s v="CUST017"/>
    <s v="Charles Allen"/>
    <s v="P006"/>
    <s v="Office Chair"/>
    <s v="Furniture"/>
    <n v="5"/>
    <n v="199.99"/>
    <s v="Cash"/>
    <x v="1"/>
    <s v="Standard"/>
    <d v="2021-08-04T00:00:00"/>
    <n v="999.95"/>
    <d v="2026-03-03T18:05:23"/>
    <d v="2026-03-03T18:05:23"/>
    <n v="199473.50000000023"/>
    <n v="6"/>
    <n v="1199.94"/>
    <n v="239368.20000000007"/>
    <n v="179526.14999999994"/>
    <n v="217924.79875000019"/>
  </r>
  <r>
    <x v="31"/>
    <x v="17"/>
    <s v="CUST006"/>
    <s v="Lisa Anderson"/>
    <s v="P008"/>
    <s v="Bookshelf"/>
    <s v="Furniture"/>
    <n v="2"/>
    <n v="149.99"/>
    <s v="Credit Card"/>
    <x v="3"/>
    <s v="Basic"/>
    <d v="2022-09-19T00:00:00"/>
    <n v="299.98"/>
    <d v="2026-03-03T18:05:23"/>
    <d v="2026-03-03T18:05:23"/>
    <n v="198473.55000000025"/>
    <n v="2.4"/>
    <n v="359.976"/>
    <n v="238168.2600000001"/>
    <n v="178626.19499999995"/>
    <n v="216832.35337500021"/>
  </r>
  <r>
    <x v="32"/>
    <x v="18"/>
    <s v="CUST002"/>
    <s v="Emma Wilson"/>
    <s v="P008"/>
    <s v="Bookshelf"/>
    <s v="Furniture"/>
    <n v="3"/>
    <n v="149.99"/>
    <s v="Credit Card"/>
    <x v="3"/>
    <s v="Premium"/>
    <d v="2023-05-22T00:00:00"/>
    <n v="449.97"/>
    <d v="2026-03-03T18:05:23"/>
    <d v="2026-03-03T18:05:23"/>
    <n v="198173.57000000024"/>
    <n v="3.5999999999999996"/>
    <n v="539.96399999999994"/>
    <n v="237808.28400000007"/>
    <n v="178356.21299999993"/>
    <n v="216504.6252250002"/>
  </r>
  <r>
    <x v="33"/>
    <x v="19"/>
    <s v="CUST021"/>
    <s v="Kevin Scott"/>
    <s v="P001"/>
    <s v="Laptop"/>
    <s v="Electronics"/>
    <n v="1"/>
    <n v="899.99"/>
    <s v="Credit Card"/>
    <x v="3"/>
    <s v="Premium"/>
    <d v="2022-01-17T00:00:00"/>
    <n v="899.99"/>
    <d v="2026-03-03T18:05:23"/>
    <d v="2026-03-03T18:05:23"/>
    <n v="197723.60000000024"/>
    <n v="1.2"/>
    <n v="1079.9880000000001"/>
    <n v="237268.32000000009"/>
    <n v="177951.23999999993"/>
    <n v="216013.0330000002"/>
  </r>
  <r>
    <x v="34"/>
    <x v="20"/>
    <s v="CUST012"/>
    <s v="Patricia Moore"/>
    <s v="P007"/>
    <s v="Desk"/>
    <s v="Furniture"/>
    <n v="3"/>
    <n v="299.99"/>
    <s v="Credit Card"/>
    <x v="4"/>
    <s v="Basic"/>
    <d v="2022-09-20T00:00:00"/>
    <n v="899.97"/>
    <d v="2026-03-03T18:05:23"/>
    <d v="2026-03-03T18:05:23"/>
    <n v="196823.61000000022"/>
    <n v="3.5999999999999996"/>
    <n v="1079.9639999999999"/>
    <n v="236188.33200000008"/>
    <n v="177141.24899999995"/>
    <n v="215029.79392500021"/>
  </r>
  <r>
    <x v="35"/>
    <x v="21"/>
    <s v="CUST006"/>
    <s v="Lisa Anderson"/>
    <s v="P004"/>
    <s v="Coffee Maker"/>
    <s v="Appliances"/>
    <n v="3"/>
    <n v="79.989999999999995"/>
    <s v="Cash"/>
    <x v="1"/>
    <s v="Basic"/>
    <d v="2023-04-30T00:00:00"/>
    <n v="239.97"/>
    <d v="2026-03-03T18:05:23"/>
    <d v="2026-03-03T18:05:23"/>
    <n v="195923.64000000022"/>
    <n v="3.5999999999999996"/>
    <n v="287.96399999999994"/>
    <n v="235108.36800000007"/>
    <n v="176331.27599999993"/>
    <n v="214046.57670000021"/>
  </r>
  <r>
    <x v="36"/>
    <x v="22"/>
    <s v="CUST031"/>
    <s v="Steven Turner"/>
    <s v="P006"/>
    <s v="Office Chair"/>
    <s v="Furniture"/>
    <n v="3"/>
    <n v="199.99"/>
    <s v="Credit Card"/>
    <x v="2"/>
    <s v="Premium"/>
    <d v="2024-01-01T00:00:00"/>
    <n v="599.97"/>
    <d v="2026-03-03T18:05:23"/>
    <d v="2026-03-03T18:05:23"/>
    <n v="195683.67000000022"/>
    <n v="3.5999999999999996"/>
    <n v="719.96399999999994"/>
    <n v="234820.40400000007"/>
    <n v="176115.30299999993"/>
    <n v="213784.4094750002"/>
  </r>
  <r>
    <x v="37"/>
    <x v="23"/>
    <s v="CUST008"/>
    <s v="Jennifer Taylor"/>
    <s v="P002"/>
    <s v="Smartphone"/>
    <s v="Electronics"/>
    <n v="5"/>
    <n v="699.99"/>
    <s v="PayPal"/>
    <x v="3"/>
    <s v="Standard"/>
    <d v="2021-07-30T00:00:00"/>
    <n v="3499.95"/>
    <d v="2026-03-03T18:05:23"/>
    <d v="2026-03-03T18:05:23"/>
    <n v="195083.70000000022"/>
    <n v="6"/>
    <n v="4199.9400000000005"/>
    <n v="234100.44000000009"/>
    <n v="175575.32999999993"/>
    <n v="213128.94225000023"/>
  </r>
  <r>
    <x v="38"/>
    <x v="24"/>
    <s v="CUST035"/>
    <s v="Harry Morgan"/>
    <s v="P010"/>
    <s v="Keyboard"/>
    <s v="Electronics"/>
    <n v="3"/>
    <n v="89.99"/>
    <s v="PayPal"/>
    <x v="0"/>
    <s v="Premium"/>
    <d v="2023-07-13T00:00:00"/>
    <n v="269.97000000000003"/>
    <d v="2026-03-03T18:05:23"/>
    <d v="2026-03-03T18:05:23"/>
    <n v="191583.75000000017"/>
    <n v="3.5999999999999996"/>
    <n v="323.96399999999994"/>
    <n v="229900.50000000012"/>
    <n v="172425.37499999991"/>
    <n v="209305.24687500016"/>
  </r>
  <r>
    <x v="39"/>
    <x v="25"/>
    <s v="CUST019"/>
    <s v="Daniel King"/>
    <s v="P004"/>
    <s v="Coffee Maker"/>
    <s v="Appliances"/>
    <n v="1"/>
    <n v="79.989999999999995"/>
    <s v="Cash"/>
    <x v="2"/>
    <s v="Standard"/>
    <d v="2022-12-22T00:00:00"/>
    <n v="79.989999999999995"/>
    <d v="2026-03-03T18:05:23"/>
    <d v="2026-03-03T18:05:23"/>
    <n v="191313.78000000017"/>
    <n v="1.2"/>
    <n v="95.987999999999985"/>
    <n v="229576.53600000014"/>
    <n v="172182.40199999991"/>
    <n v="209010.30465000015"/>
  </r>
  <r>
    <x v="40"/>
    <x v="26"/>
    <s v="CUST040"/>
    <s v="Sharon Butler"/>
    <s v="P005"/>
    <s v="Blender"/>
    <s v="Appliances"/>
    <n v="2"/>
    <n v="59.99"/>
    <s v="Cash"/>
    <x v="3"/>
    <s v="Basic"/>
    <d v="2024-04-08T00:00:00"/>
    <n v="119.98"/>
    <d v="2026-03-03T18:05:23"/>
    <d v="2026-03-03T18:05:23"/>
    <n v="191233.79000000018"/>
    <n v="2.4"/>
    <n v="143.976"/>
    <n v="229480.54800000013"/>
    <n v="172110.41099999993"/>
    <n v="208922.91557500014"/>
  </r>
  <r>
    <x v="41"/>
    <x v="26"/>
    <s v="CUST017"/>
    <s v="Charles Allen"/>
    <s v="P010"/>
    <s v="Keyboard"/>
    <s v="Electronics"/>
    <n v="1"/>
    <n v="89.99"/>
    <s v="Cash"/>
    <x v="2"/>
    <s v="Basic"/>
    <d v="2023-08-03T00:00:00"/>
    <n v="89.99"/>
    <d v="2026-03-03T18:05:23"/>
    <d v="2026-03-03T18:05:23"/>
    <n v="191113.81000000017"/>
    <n v="1.2"/>
    <n v="107.98799999999999"/>
    <n v="229336.57200000013"/>
    <n v="172002.42899999992"/>
    <n v="208791.83742500015"/>
  </r>
  <r>
    <x v="42"/>
    <x v="27"/>
    <s v="CUST004"/>
    <s v="Sarah Davis"/>
    <s v="P010"/>
    <s v="Keyboard"/>
    <s v="Electronics"/>
    <n v="5"/>
    <n v="89.99"/>
    <s v="Credit Card"/>
    <x v="4"/>
    <s v="Standard"/>
    <d v="2022-01-26T00:00:00"/>
    <n v="449.95"/>
    <d v="2026-03-03T18:05:23"/>
    <d v="2026-03-03T18:05:23"/>
    <n v="191023.82000000018"/>
    <n v="6"/>
    <n v="539.93999999999994"/>
    <n v="229228.58400000012"/>
    <n v="171921.43799999994"/>
    <n v="208693.52335000015"/>
  </r>
  <r>
    <x v="43"/>
    <x v="28"/>
    <s v="CUST013"/>
    <s v="Joseph Jackson"/>
    <s v="P009"/>
    <s v="Monitor"/>
    <s v="Electronics"/>
    <n v="5"/>
    <n v="249.99"/>
    <s v="Credit Card"/>
    <x v="4"/>
    <s v="Standard"/>
    <d v="2022-05-26T00:00:00"/>
    <n v="1249.95"/>
    <d v="2026-03-03T18:05:23"/>
    <d v="2026-03-03T18:05:23"/>
    <n v="190573.8700000002"/>
    <n v="6"/>
    <n v="1499.94"/>
    <n v="228688.64400000012"/>
    <n v="171516.48299999992"/>
    <n v="208201.95297500014"/>
  </r>
  <r>
    <x v="44"/>
    <x v="28"/>
    <s v="CUST028"/>
    <s v="Betty Campbell"/>
    <s v="P010"/>
    <s v="Keyboard"/>
    <s v="Electronics"/>
    <n v="1"/>
    <n v="89.99"/>
    <s v="Credit Card"/>
    <x v="1"/>
    <s v="Standard"/>
    <d v="2022-01-21T00:00:00"/>
    <n v="89.99"/>
    <d v="2026-03-03T18:05:23"/>
    <d v="2026-03-03T18:05:23"/>
    <n v="189323.92000000022"/>
    <n v="1.2"/>
    <n v="107.98799999999999"/>
    <n v="227188.70400000011"/>
    <n v="170391.5279999999"/>
    <n v="206836.38260000013"/>
  </r>
  <r>
    <x v="45"/>
    <x v="29"/>
    <s v="CUST003"/>
    <s v="Michael Brown"/>
    <s v="P008"/>
    <s v="Bookshelf"/>
    <s v="Furniture"/>
    <n v="2"/>
    <n v="149.99"/>
    <s v="Cash"/>
    <x v="4"/>
    <s v="Premium"/>
    <d v="2022-03-25T00:00:00"/>
    <n v="299.98"/>
    <d v="2026-03-03T18:05:23"/>
    <d v="2026-03-03T18:05:23"/>
    <n v="189233.93000000023"/>
    <n v="2.4"/>
    <n v="359.976"/>
    <n v="227080.7160000001"/>
    <n v="170310.53699999989"/>
    <n v="206738.06852500013"/>
  </r>
  <r>
    <x v="46"/>
    <x v="30"/>
    <s v="CUST050"/>
    <s v="Julie Foster"/>
    <s v="P005"/>
    <s v="Blender"/>
    <s v="Appliances"/>
    <n v="4"/>
    <n v="59.99"/>
    <s v="Cash"/>
    <x v="4"/>
    <s v="Standard"/>
    <d v="2021-08-27T00:00:00"/>
    <n v="239.96"/>
    <d v="2026-03-03T18:05:23"/>
    <d v="2026-03-03T18:05:23"/>
    <n v="188933.95000000022"/>
    <n v="4.8"/>
    <n v="287.952"/>
    <n v="226720.74000000011"/>
    <n v="170040.55499999991"/>
    <n v="206410.34037500015"/>
  </r>
  <r>
    <x v="47"/>
    <x v="31"/>
    <s v="CUST006"/>
    <s v="Lisa Anderson"/>
    <s v="P010"/>
    <s v="Keyboard"/>
    <s v="Electronics"/>
    <n v="5"/>
    <n v="89.99"/>
    <s v="Cash"/>
    <x v="0"/>
    <s v="Premium"/>
    <d v="2022-01-18T00:00:00"/>
    <n v="449.95"/>
    <d v="2026-03-03T18:05:23"/>
    <d v="2026-03-03T18:05:23"/>
    <n v="188693.99000000022"/>
    <n v="6"/>
    <n v="539.93999999999994"/>
    <n v="226432.78800000012"/>
    <n v="169824.59099999993"/>
    <n v="206148.18407500014"/>
  </r>
  <r>
    <x v="48"/>
    <x v="32"/>
    <s v="CUST012"/>
    <s v="Patricia Moore"/>
    <s v="P010"/>
    <s v="Keyboard"/>
    <s v="Electronics"/>
    <n v="2"/>
    <n v="89.99"/>
    <s v="Credit Card"/>
    <x v="1"/>
    <s v="Premium"/>
    <d v="2021-10-02T00:00:00"/>
    <n v="179.98"/>
    <d v="2026-03-03T18:05:23"/>
    <d v="2026-03-03T18:05:23"/>
    <n v="188244.04000000021"/>
    <n v="2.4"/>
    <n v="215.97599999999997"/>
    <n v="225892.84800000011"/>
    <n v="169419.63599999991"/>
    <n v="205656.61370000013"/>
  </r>
  <r>
    <x v="49"/>
    <x v="32"/>
    <s v="CUST023"/>
    <s v="Paul Baker"/>
    <s v="P001"/>
    <s v="Laptop"/>
    <s v="Electronics"/>
    <n v="5"/>
    <n v="899.99"/>
    <s v="Credit Card"/>
    <x v="1"/>
    <s v="Standard"/>
    <d v="2023-02-17T00:00:00"/>
    <n v="4499.95"/>
    <d v="2026-03-03T18:05:23"/>
    <d v="2026-03-03T18:05:23"/>
    <n v="188064.0600000002"/>
    <n v="6"/>
    <n v="5399.9400000000005"/>
    <n v="225676.87200000012"/>
    <n v="169257.65399999989"/>
    <n v="205459.98555000016"/>
  </r>
  <r>
    <x v="50"/>
    <x v="32"/>
    <s v="CUST029"/>
    <s v="Edward Mitchell"/>
    <s v="P001"/>
    <s v="Laptop"/>
    <s v="Electronics"/>
    <n v="5"/>
    <n v="899.99"/>
    <s v="PayPal"/>
    <x v="4"/>
    <s v="Premium"/>
    <d v="2023-12-18T00:00:00"/>
    <n v="4499.95"/>
    <d v="2026-03-03T18:05:23"/>
    <d v="2026-03-03T18:05:23"/>
    <n v="183564.11000000022"/>
    <n v="6"/>
    <n v="5399.9400000000005"/>
    <n v="220276.93200000006"/>
    <n v="165207.69899999996"/>
    <n v="200543.79017500015"/>
  </r>
  <r>
    <x v="51"/>
    <x v="33"/>
    <s v="CUST028"/>
    <s v="Betty Campbell"/>
    <s v="P005"/>
    <s v="Blender"/>
    <s v="Appliances"/>
    <n v="1"/>
    <n v="59.99"/>
    <s v="Debit Card"/>
    <x v="3"/>
    <s v="Premium"/>
    <d v="2023-09-21T00:00:00"/>
    <n v="59.99"/>
    <d v="2026-03-03T18:05:23"/>
    <d v="2026-03-03T18:05:23"/>
    <n v="179064.16000000024"/>
    <n v="1.2"/>
    <n v="71.988"/>
    <n v="214876.99200000009"/>
    <n v="161157.74399999998"/>
    <n v="195627.59480000011"/>
  </r>
  <r>
    <x v="52"/>
    <x v="33"/>
    <s v="CUST008"/>
    <s v="Jennifer Taylor"/>
    <s v="P007"/>
    <s v="Desk"/>
    <s v="Furniture"/>
    <n v="2"/>
    <n v="299.99"/>
    <s v="Debit Card"/>
    <x v="4"/>
    <s v="Standard"/>
    <d v="2023-11-23T00:00:00"/>
    <n v="599.98"/>
    <d v="2026-03-03T18:05:23"/>
    <d v="2026-03-03T18:05:23"/>
    <n v="179004.17000000022"/>
    <n v="2.4"/>
    <n v="719.976"/>
    <n v="214805.00400000007"/>
    <n v="161103.75299999997"/>
    <n v="195562.0557250001"/>
  </r>
  <r>
    <x v="53"/>
    <x v="34"/>
    <s v="CUST049"/>
    <s v="Raymond Ross"/>
    <s v="P010"/>
    <s v="Keyboard"/>
    <s v="Electronics"/>
    <n v="4"/>
    <n v="89.99"/>
    <s v="Debit Card"/>
    <x v="1"/>
    <s v="Basic"/>
    <d v="2023-12-21T00:00:00"/>
    <n v="359.96"/>
    <d v="2026-03-03T18:05:23"/>
    <d v="2026-03-03T18:05:23"/>
    <n v="178404.19000000024"/>
    <n v="4.8"/>
    <n v="431.95199999999994"/>
    <n v="214085.02800000008"/>
    <n v="160563.77099999998"/>
    <n v="194906.57757500012"/>
  </r>
  <r>
    <x v="54"/>
    <x v="35"/>
    <s v="CUST021"/>
    <s v="Kevin Scott"/>
    <s v="P004"/>
    <s v="Coffee Maker"/>
    <s v="Appliances"/>
    <n v="1"/>
    <n v="79.989999999999995"/>
    <s v="PayPal"/>
    <x v="0"/>
    <s v="Premium"/>
    <d v="2024-03-01T00:00:00"/>
    <n v="79.989999999999995"/>
    <d v="2026-03-03T18:05:23"/>
    <d v="2026-03-03T18:05:23"/>
    <n v="178044.23000000021"/>
    <n v="1.2"/>
    <n v="95.987999999999985"/>
    <n v="213653.07600000009"/>
    <n v="160239.80699999997"/>
    <n v="194513.32127500011"/>
  </r>
  <r>
    <x v="55"/>
    <x v="35"/>
    <s v="CUST009"/>
    <s v="Robert Thomas"/>
    <s v="P010"/>
    <s v="Keyboard"/>
    <s v="Electronics"/>
    <n v="2"/>
    <n v="89.99"/>
    <s v="Cash"/>
    <x v="3"/>
    <s v="Basic"/>
    <d v="2021-08-30T00:00:00"/>
    <n v="179.98"/>
    <d v="2026-03-03T18:05:23"/>
    <d v="2026-03-03T18:05:23"/>
    <n v="177964.24000000022"/>
    <n v="2.4"/>
    <n v="215.97599999999997"/>
    <n v="213557.08800000008"/>
    <n v="160167.81599999999"/>
    <n v="194425.93220000013"/>
  </r>
  <r>
    <x v="56"/>
    <x v="36"/>
    <s v="CUST046"/>
    <s v="Kathleen Bennett"/>
    <s v="P002"/>
    <s v="Smartphone"/>
    <s v="Electronics"/>
    <n v="3"/>
    <n v="699.99"/>
    <s v="Credit Card"/>
    <x v="4"/>
    <s v="Premium"/>
    <d v="2023-06-25T00:00:00"/>
    <n v="2099.9699999999998"/>
    <d v="2026-03-03T18:05:23"/>
    <d v="2026-03-03T18:05:23"/>
    <n v="177784.26000000021"/>
    <n v="3.5999999999999996"/>
    <n v="2519.9639999999999"/>
    <n v="213341.11200000005"/>
    <n v="160005.83399999997"/>
    <n v="194229.30405000012"/>
  </r>
  <r>
    <x v="57"/>
    <x v="36"/>
    <s v="CUST012"/>
    <s v="Patricia Moore"/>
    <s v="P001"/>
    <s v="Laptop"/>
    <s v="Electronics"/>
    <n v="4"/>
    <n v="899.99"/>
    <s v="Credit Card"/>
    <x v="4"/>
    <s v="Premium"/>
    <d v="2023-03-08T00:00:00"/>
    <n v="3599.96"/>
    <d v="2026-03-03T18:05:23"/>
    <d v="2026-03-03T18:05:23"/>
    <n v="175684.29000000021"/>
    <n v="4.8"/>
    <n v="4319.9520000000002"/>
    <n v="210821.14800000004"/>
    <n v="158115.86099999998"/>
    <n v="191935.08682500012"/>
  </r>
  <r>
    <x v="58"/>
    <x v="37"/>
    <s v="CUST030"/>
    <s v="Helen Roberts"/>
    <s v="P008"/>
    <s v="Bookshelf"/>
    <s v="Furniture"/>
    <n v="1"/>
    <n v="149.99"/>
    <s v="PayPal"/>
    <x v="4"/>
    <s v="Basic"/>
    <d v="2022-10-17T00:00:00"/>
    <n v="149.99"/>
    <d v="2026-03-03T18:05:23"/>
    <d v="2026-03-03T18:05:23"/>
    <n v="172084.33000000025"/>
    <n v="1.2"/>
    <n v="179.988"/>
    <n v="206501.19600000005"/>
    <n v="154875.89700000003"/>
    <n v="188002.1305250001"/>
  </r>
  <r>
    <x v="59"/>
    <x v="38"/>
    <s v="CUST002"/>
    <s v="Emma Wilson"/>
    <s v="P010"/>
    <s v="Keyboard"/>
    <s v="Electronics"/>
    <n v="2"/>
    <n v="89.99"/>
    <s v="PayPal"/>
    <x v="0"/>
    <s v="Premium"/>
    <d v="2023-12-15T00:00:00"/>
    <n v="179.98"/>
    <d v="2026-03-03T18:05:23"/>
    <d v="2026-03-03T18:05:23"/>
    <n v="171934.34000000023"/>
    <n v="2.4"/>
    <n v="215.97599999999997"/>
    <n v="206321.20800000007"/>
    <n v="154740.90600000002"/>
    <n v="187838.26645000011"/>
  </r>
  <r>
    <x v="60"/>
    <x v="39"/>
    <s v="CUST017"/>
    <s v="Charles Allen"/>
    <s v="P010"/>
    <s v="Keyboard"/>
    <s v="Electronics"/>
    <n v="1"/>
    <n v="89.99"/>
    <s v="PayPal"/>
    <x v="3"/>
    <s v="Standard"/>
    <d v="2022-08-29T00:00:00"/>
    <n v="89.99"/>
    <d v="2026-03-03T18:05:23"/>
    <d v="2026-03-03T18:05:23"/>
    <n v="171754.36000000022"/>
    <n v="1.2"/>
    <n v="107.98799999999999"/>
    <n v="206105.23200000005"/>
    <n v="154578.92400000003"/>
    <n v="187641.63830000011"/>
  </r>
  <r>
    <x v="61"/>
    <x v="40"/>
    <s v="CUST022"/>
    <s v="Susan Green"/>
    <s v="P010"/>
    <s v="Keyboard"/>
    <s v="Electronics"/>
    <n v="1"/>
    <n v="89.99"/>
    <s v="Cash"/>
    <x v="1"/>
    <s v="Standard"/>
    <d v="2022-02-19T00:00:00"/>
    <n v="89.99"/>
    <d v="2026-03-03T18:05:23"/>
    <d v="2026-03-03T18:05:23"/>
    <n v="171664.37000000023"/>
    <n v="1.2"/>
    <n v="107.98799999999999"/>
    <n v="205997.24400000006"/>
    <n v="154497.93300000002"/>
    <n v="187543.32422500013"/>
  </r>
  <r>
    <x v="62"/>
    <x v="40"/>
    <s v="CUST007"/>
    <s v="David Martinez"/>
    <s v="P004"/>
    <s v="Coffee Maker"/>
    <s v="Appliances"/>
    <n v="5"/>
    <n v="79.989999999999995"/>
    <s v="Debit Card"/>
    <x v="0"/>
    <s v="Basic"/>
    <d v="2023-02-24T00:00:00"/>
    <n v="399.95"/>
    <d v="2026-03-03T18:05:23"/>
    <d v="2026-03-03T18:05:23"/>
    <n v="171574.38000000021"/>
    <n v="6"/>
    <n v="479.93999999999994"/>
    <n v="205889.25600000005"/>
    <n v="154416.94200000001"/>
    <n v="187445.01015000013"/>
  </r>
  <r>
    <x v="63"/>
    <x v="41"/>
    <s v="CUST020"/>
    <s v="Margaret Wright"/>
    <s v="P008"/>
    <s v="Bookshelf"/>
    <s v="Furniture"/>
    <n v="1"/>
    <n v="149.99"/>
    <s v="PayPal"/>
    <x v="2"/>
    <s v="Basic"/>
    <d v="2021-08-13T00:00:00"/>
    <n v="149.99"/>
    <d v="2026-03-03T18:05:23"/>
    <d v="2026-03-03T18:05:23"/>
    <n v="171174.43000000023"/>
    <n v="1.2"/>
    <n v="179.988"/>
    <n v="205409.31600000005"/>
    <n v="154056.98700000002"/>
    <n v="187008.06477500012"/>
  </r>
  <r>
    <x v="64"/>
    <x v="41"/>
    <s v="CUST003"/>
    <s v="Michael Brown"/>
    <s v="P002"/>
    <s v="Smartphone"/>
    <s v="Electronics"/>
    <n v="2"/>
    <n v="699.99"/>
    <s v="PayPal"/>
    <x v="4"/>
    <s v="Premium"/>
    <d v="2024-04-07T00:00:00"/>
    <n v="1399.98"/>
    <d v="2026-03-03T18:05:23"/>
    <d v="2026-03-03T18:05:23"/>
    <n v="171024.44000000021"/>
    <n v="2.4"/>
    <n v="1679.9759999999999"/>
    <n v="205229.32800000007"/>
    <n v="153921.99600000001"/>
    <n v="186844.20070000013"/>
  </r>
  <r>
    <x v="65"/>
    <x v="41"/>
    <s v="CUST018"/>
    <s v="Barbara Young"/>
    <s v="P010"/>
    <s v="Keyboard"/>
    <s v="Electronics"/>
    <n v="5"/>
    <n v="89.99"/>
    <s v="Debit Card"/>
    <x v="2"/>
    <s v="Premium"/>
    <d v="2023-08-23T00:00:00"/>
    <n v="449.95"/>
    <d v="2026-03-03T18:05:23"/>
    <d v="2026-03-03T18:05:23"/>
    <n v="169624.4600000002"/>
    <n v="6"/>
    <n v="539.93999999999994"/>
    <n v="203549.35200000007"/>
    <n v="152662.014"/>
    <n v="185314.72255000012"/>
  </r>
  <r>
    <x v="66"/>
    <x v="42"/>
    <s v="CUST049"/>
    <s v="Raymond Ross"/>
    <s v="P005"/>
    <s v="Blender"/>
    <s v="Appliances"/>
    <n v="4"/>
    <n v="59.99"/>
    <s v="Cash"/>
    <x v="1"/>
    <s v="Standard"/>
    <d v="2021-11-09T00:00:00"/>
    <n v="239.96"/>
    <d v="2026-03-03T18:05:23"/>
    <d v="2026-03-03T18:05:23"/>
    <n v="169174.51000000018"/>
    <n v="4.8"/>
    <n v="287.952"/>
    <n v="203009.41200000007"/>
    <n v="152257.05900000001"/>
    <n v="184823.15217500011"/>
  </r>
  <r>
    <x v="67"/>
    <x v="43"/>
    <s v="CUST013"/>
    <s v="Joseph Jackson"/>
    <s v="P003"/>
    <s v="Headphones"/>
    <s v="Electronics"/>
    <n v="1"/>
    <n v="149.99"/>
    <s v="Cash"/>
    <x v="0"/>
    <s v="Standard"/>
    <d v="2022-12-14T00:00:00"/>
    <n v="149.99"/>
    <d v="2026-03-03T18:05:23"/>
    <d v="2026-03-03T18:05:23"/>
    <n v="168934.55000000019"/>
    <n v="1.2"/>
    <n v="179.988"/>
    <n v="202721.46000000005"/>
    <n v="152041.095"/>
    <n v="184560.99587500011"/>
  </r>
  <r>
    <x v="68"/>
    <x v="43"/>
    <s v="CUST033"/>
    <s v="Frank Torres"/>
    <s v="P007"/>
    <s v="Desk"/>
    <s v="Furniture"/>
    <n v="1"/>
    <n v="299.99"/>
    <s v="Credit Card"/>
    <x v="2"/>
    <s v="Premium"/>
    <d v="2022-11-26T00:00:00"/>
    <n v="299.99"/>
    <d v="2026-03-03T18:05:23"/>
    <d v="2026-03-03T18:05:23"/>
    <n v="168784.56000000017"/>
    <n v="1.2"/>
    <n v="359.988"/>
    <n v="202541.47200000007"/>
    <n v="151906.10400000002"/>
    <n v="184397.13180000012"/>
  </r>
  <r>
    <x v="69"/>
    <x v="44"/>
    <s v="CUST033"/>
    <s v="Frank Torres"/>
    <s v="P006"/>
    <s v="Office Chair"/>
    <s v="Furniture"/>
    <n v="2"/>
    <n v="199.99"/>
    <s v="Cash"/>
    <x v="2"/>
    <s v="Basic"/>
    <d v="2021-12-11T00:00:00"/>
    <n v="399.98"/>
    <d v="2026-03-03T18:05:23"/>
    <d v="2026-03-03T18:05:23"/>
    <n v="168484.57000000018"/>
    <n v="2.4"/>
    <n v="479.976"/>
    <n v="202181.48400000005"/>
    <n v="151636.11300000004"/>
    <n v="184069.39272500013"/>
  </r>
  <r>
    <x v="70"/>
    <x v="45"/>
    <s v="CUST047"/>
    <s v="Gerald Murphy"/>
    <s v="P005"/>
    <s v="Blender"/>
    <s v="Appliances"/>
    <n v="3"/>
    <n v="59.99"/>
    <s v="Credit Card"/>
    <x v="3"/>
    <s v="Basic"/>
    <d v="2023-07-23T00:00:00"/>
    <n v="179.97"/>
    <d v="2026-03-03T18:05:23"/>
    <d v="2026-03-03T18:05:23"/>
    <n v="168084.59000000017"/>
    <n v="3.5999999999999996"/>
    <n v="215.964"/>
    <n v="201701.50800000003"/>
    <n v="151276.13100000005"/>
    <n v="183632.41457500012"/>
  </r>
  <r>
    <x v="71"/>
    <x v="45"/>
    <s v="CUST041"/>
    <s v="Peter Richardson"/>
    <s v="P008"/>
    <s v="Bookshelf"/>
    <s v="Furniture"/>
    <n v="3"/>
    <n v="149.99"/>
    <s v="Cash"/>
    <x v="0"/>
    <s v="Premium"/>
    <d v="2023-09-30T00:00:00"/>
    <n v="449.97"/>
    <d v="2026-03-03T18:05:23"/>
    <d v="2026-03-03T18:05:23"/>
    <n v="167904.62000000017"/>
    <n v="3.5999999999999996"/>
    <n v="539.96399999999994"/>
    <n v="201485.54400000002"/>
    <n v="151114.15800000005"/>
    <n v="183435.79735000012"/>
  </r>
  <r>
    <x v="72"/>
    <x v="46"/>
    <s v="CUST026"/>
    <s v="Karen Hill"/>
    <s v="P006"/>
    <s v="Office Chair"/>
    <s v="Furniture"/>
    <n v="3"/>
    <n v="199.99"/>
    <s v="Cash"/>
    <x v="2"/>
    <s v="Premium"/>
    <d v="2023-11-24T00:00:00"/>
    <n v="599.97"/>
    <d v="2026-03-03T18:05:23"/>
    <d v="2026-03-03T18:05:23"/>
    <n v="167454.6500000002"/>
    <n v="3.5999999999999996"/>
    <n v="719.96399999999994"/>
    <n v="200945.58000000002"/>
    <n v="150709.18500000006"/>
    <n v="182944.20512500012"/>
  </r>
  <r>
    <x v="73"/>
    <x v="47"/>
    <s v="CUST040"/>
    <s v="Sharon Butler"/>
    <s v="P001"/>
    <s v="Laptop"/>
    <s v="Electronics"/>
    <n v="1"/>
    <n v="899.99"/>
    <s v="Cash"/>
    <x v="0"/>
    <s v="Standard"/>
    <d v="2023-09-10T00:00:00"/>
    <n v="899.99"/>
    <d v="2026-03-03T18:05:23"/>
    <d v="2026-03-03T18:05:23"/>
    <n v="166854.68000000017"/>
    <n v="1.2"/>
    <n v="1079.9880000000001"/>
    <n v="200225.61600000001"/>
    <n v="150169.21200000006"/>
    <n v="182288.73790000012"/>
  </r>
  <r>
    <x v="74"/>
    <x v="48"/>
    <s v="CUST013"/>
    <s v="Joseph Jackson"/>
    <s v="P001"/>
    <s v="Laptop"/>
    <s v="Electronics"/>
    <n v="5"/>
    <n v="899.99"/>
    <s v="Debit Card"/>
    <x v="1"/>
    <s v="Standard"/>
    <d v="2022-12-04T00:00:00"/>
    <n v="4499.95"/>
    <d v="2026-03-03T18:05:23"/>
    <d v="2026-03-03T18:05:23"/>
    <n v="165954.69000000018"/>
    <n v="6"/>
    <n v="5399.9400000000005"/>
    <n v="199145.62800000003"/>
    <n v="149359.22100000008"/>
    <n v="181305.49882500013"/>
  </r>
  <r>
    <x v="75"/>
    <x v="49"/>
    <s v="CUST007"/>
    <s v="David Martinez"/>
    <s v="P005"/>
    <s v="Blender"/>
    <s v="Appliances"/>
    <n v="2"/>
    <n v="59.99"/>
    <s v="Cash"/>
    <x v="2"/>
    <s v="Standard"/>
    <d v="2023-08-14T00:00:00"/>
    <n v="119.98"/>
    <d v="2026-03-03T18:05:23"/>
    <d v="2026-03-03T18:05:23"/>
    <n v="161454.74000000017"/>
    <n v="2.4"/>
    <n v="143.976"/>
    <n v="193745.68800000008"/>
    <n v="145309.26600000009"/>
    <n v="176389.30345000012"/>
  </r>
  <r>
    <x v="76"/>
    <x v="49"/>
    <s v="CUST047"/>
    <s v="Gerald Murphy"/>
    <s v="P009"/>
    <s v="Monitor"/>
    <s v="Electronics"/>
    <n v="4"/>
    <n v="249.99"/>
    <s v="Debit Card"/>
    <x v="0"/>
    <s v="Standard"/>
    <d v="2023-07-20T00:00:00"/>
    <n v="999.96"/>
    <d v="2026-03-03T18:05:23"/>
    <d v="2026-03-03T18:05:23"/>
    <n v="161334.76000000018"/>
    <n v="4.8"/>
    <n v="1199.952"/>
    <n v="193601.71200000006"/>
    <n v="145201.2840000001"/>
    <n v="176258.22530000014"/>
  </r>
  <r>
    <x v="77"/>
    <x v="50"/>
    <s v="CUST018"/>
    <s v="Barbara Young"/>
    <s v="P009"/>
    <s v="Monitor"/>
    <s v="Electronics"/>
    <n v="2"/>
    <n v="249.99"/>
    <s v="Cash"/>
    <x v="2"/>
    <s v="Premium"/>
    <d v="2023-08-26T00:00:00"/>
    <n v="499.98"/>
    <d v="2026-03-03T18:05:23"/>
    <d v="2026-03-03T18:05:23"/>
    <n v="160334.80000000016"/>
    <n v="2.4"/>
    <n v="599.976"/>
    <n v="192401.76000000007"/>
    <n v="144301.32000000012"/>
    <n v="175165.76900000009"/>
  </r>
  <r>
    <x v="78"/>
    <x v="50"/>
    <s v="CUST019"/>
    <s v="Daniel King"/>
    <s v="P007"/>
    <s v="Desk"/>
    <s v="Furniture"/>
    <n v="1"/>
    <n v="299.99"/>
    <s v="Cash"/>
    <x v="1"/>
    <s v="Basic"/>
    <d v="2023-02-25T00:00:00"/>
    <n v="299.99"/>
    <d v="2026-03-03T18:05:23"/>
    <d v="2026-03-03T18:05:23"/>
    <n v="159834.82000000018"/>
    <n v="1.2"/>
    <n v="359.988"/>
    <n v="191801.78400000007"/>
    <n v="143851.33800000011"/>
    <n v="174619.54085000008"/>
  </r>
  <r>
    <x v="79"/>
    <x v="51"/>
    <s v="CUST025"/>
    <s v="Mark Carter"/>
    <s v="P010"/>
    <s v="Keyboard"/>
    <s v="Electronics"/>
    <n v="2"/>
    <n v="89.99"/>
    <s v="PayPal"/>
    <x v="1"/>
    <s v="Basic"/>
    <d v="2023-02-19T00:00:00"/>
    <n v="179.98"/>
    <d v="2026-03-03T18:05:23"/>
    <d v="2026-03-03T18:05:23"/>
    <n v="159534.83000000019"/>
    <n v="2.4"/>
    <n v="215.97599999999997"/>
    <n v="191441.79600000006"/>
    <n v="143581.34700000013"/>
    <n v="174291.80177500009"/>
  </r>
  <r>
    <x v="80"/>
    <x v="51"/>
    <s v="CUST019"/>
    <s v="Daniel King"/>
    <s v="P007"/>
    <s v="Desk"/>
    <s v="Furniture"/>
    <n v="3"/>
    <n v="299.99"/>
    <s v="Cash"/>
    <x v="0"/>
    <s v="Basic"/>
    <d v="2022-06-20T00:00:00"/>
    <n v="899.97"/>
    <d v="2026-03-03T18:05:23"/>
    <d v="2026-03-03T18:05:23"/>
    <n v="159354.85000000018"/>
    <n v="3.5999999999999996"/>
    <n v="1079.9639999999999"/>
    <n v="191225.82000000007"/>
    <n v="143419.36500000011"/>
    <n v="174095.17362500008"/>
  </r>
  <r>
    <x v="81"/>
    <x v="52"/>
    <s v="CUST025"/>
    <s v="Mark Carter"/>
    <s v="P002"/>
    <s v="Smartphone"/>
    <s v="Electronics"/>
    <n v="2"/>
    <n v="699.99"/>
    <s v="Credit Card"/>
    <x v="2"/>
    <s v="Premium"/>
    <d v="2023-03-14T00:00:00"/>
    <n v="1399.98"/>
    <d v="2026-03-03T18:05:23"/>
    <d v="2026-03-03T18:05:23"/>
    <n v="158454.88000000018"/>
    <n v="2.4"/>
    <n v="1679.9759999999999"/>
    <n v="190145.85600000006"/>
    <n v="142609.39200000011"/>
    <n v="173111.95640000008"/>
  </r>
  <r>
    <x v="82"/>
    <x v="53"/>
    <s v="CUST030"/>
    <s v="Helen Roberts"/>
    <s v="P001"/>
    <s v="Laptop"/>
    <s v="Electronics"/>
    <n v="4"/>
    <n v="899.99"/>
    <s v="Debit Card"/>
    <x v="1"/>
    <s v="Standard"/>
    <d v="2021-11-23T00:00:00"/>
    <n v="3599.96"/>
    <d v="2026-03-03T18:05:23"/>
    <d v="2026-03-03T18:05:23"/>
    <n v="157054.90000000014"/>
    <n v="4.8"/>
    <n v="4319.9520000000002"/>
    <n v="188465.88000000006"/>
    <n v="141349.41000000009"/>
    <n v="171582.4782500001"/>
  </r>
  <r>
    <x v="83"/>
    <x v="54"/>
    <s v="CUST016"/>
    <s v="Elizabeth Hall"/>
    <s v="P008"/>
    <s v="Bookshelf"/>
    <s v="Furniture"/>
    <n v="2"/>
    <n v="149.99"/>
    <s v="Credit Card"/>
    <x v="3"/>
    <s v="Basic"/>
    <d v="2021-12-12T00:00:00"/>
    <n v="299.98"/>
    <d v="2026-03-03T18:05:23"/>
    <d v="2026-03-03T18:05:23"/>
    <n v="153454.94000000009"/>
    <n v="2.4"/>
    <n v="359.976"/>
    <n v="184145.92800000007"/>
    <n v="138109.44600000008"/>
    <n v="167649.52195000008"/>
  </r>
  <r>
    <x v="84"/>
    <x v="55"/>
    <s v="CUST044"/>
    <s v="Cynthia Price"/>
    <s v="P008"/>
    <s v="Bookshelf"/>
    <s v="Furniture"/>
    <n v="2"/>
    <n v="149.99"/>
    <s v="Debit Card"/>
    <x v="4"/>
    <s v="Standard"/>
    <d v="2022-04-16T00:00:00"/>
    <n v="299.98"/>
    <d v="2026-03-03T18:05:23"/>
    <d v="2026-03-03T18:05:23"/>
    <n v="153154.96000000011"/>
    <n v="2.4"/>
    <n v="359.976"/>
    <n v="183785.95200000008"/>
    <n v="137839.46400000007"/>
    <n v="167321.79380000007"/>
  </r>
  <r>
    <x v="85"/>
    <x v="56"/>
    <s v="CUST010"/>
    <s v="Maria Garcia"/>
    <s v="P010"/>
    <s v="Keyboard"/>
    <s v="Electronics"/>
    <n v="1"/>
    <n v="89.99"/>
    <s v="Credit Card"/>
    <x v="2"/>
    <s v="Standard"/>
    <d v="2024-04-11T00:00:00"/>
    <n v="89.99"/>
    <d v="2026-03-03T18:05:23"/>
    <d v="2026-03-03T18:05:23"/>
    <n v="152854.9800000001"/>
    <n v="1.2"/>
    <n v="107.98799999999999"/>
    <n v="183425.97600000008"/>
    <n v="137569.48200000008"/>
    <n v="166994.06565000009"/>
  </r>
  <r>
    <x v="86"/>
    <x v="57"/>
    <s v="CUST025"/>
    <s v="Mark Carter"/>
    <s v="P007"/>
    <s v="Desk"/>
    <s v="Furniture"/>
    <n v="5"/>
    <n v="299.99"/>
    <s v="Credit Card"/>
    <x v="2"/>
    <s v="Basic"/>
    <d v="2023-02-08T00:00:00"/>
    <n v="1499.95"/>
    <d v="2026-03-03T18:05:23"/>
    <d v="2026-03-03T18:05:23"/>
    <n v="152764.99000000011"/>
    <n v="6"/>
    <n v="1799.94"/>
    <n v="183317.98800000007"/>
    <n v="137488.49100000007"/>
    <n v="166895.75157500009"/>
  </r>
  <r>
    <x v="87"/>
    <x v="58"/>
    <s v="CUST007"/>
    <s v="David Martinez"/>
    <s v="P003"/>
    <s v="Headphones"/>
    <s v="Electronics"/>
    <n v="4"/>
    <n v="149.99"/>
    <s v="Debit Card"/>
    <x v="1"/>
    <s v="Premium"/>
    <d v="2022-09-16T00:00:00"/>
    <n v="599.96"/>
    <d v="2026-03-03T18:05:23"/>
    <d v="2026-03-03T18:05:23"/>
    <n v="151265.04000000007"/>
    <n v="4.8"/>
    <n v="719.952"/>
    <n v="181518.04800000004"/>
    <n v="136138.53600000011"/>
    <n v="165257.05620000008"/>
  </r>
  <r>
    <x v="88"/>
    <x v="58"/>
    <s v="CUST020"/>
    <s v="Margaret Wright"/>
    <s v="P009"/>
    <s v="Monitor"/>
    <s v="Electronics"/>
    <n v="5"/>
    <n v="249.99"/>
    <s v="PayPal"/>
    <x v="4"/>
    <s v="Premium"/>
    <d v="2022-08-09T00:00:00"/>
    <n v="1249.95"/>
    <d v="2026-03-03T18:05:23"/>
    <d v="2026-03-03T18:05:23"/>
    <n v="150665.08000000005"/>
    <n v="6"/>
    <n v="1499.94"/>
    <n v="180798.09600000005"/>
    <n v="135598.57200000013"/>
    <n v="164601.59990000009"/>
  </r>
  <r>
    <x v="89"/>
    <x v="58"/>
    <s v="CUST026"/>
    <s v="Karen Hill"/>
    <s v="P009"/>
    <s v="Monitor"/>
    <s v="Electronics"/>
    <n v="3"/>
    <n v="249.99"/>
    <s v="PayPal"/>
    <x v="2"/>
    <s v="Premium"/>
    <d v="2021-09-26T00:00:00"/>
    <n v="749.97"/>
    <d v="2026-03-03T18:05:23"/>
    <d v="2026-03-03T18:05:23"/>
    <n v="149415.13000000006"/>
    <n v="3.5999999999999996"/>
    <n v="899.96399999999994"/>
    <n v="179298.15600000005"/>
    <n v="134473.61700000011"/>
    <n v="163236.02952500011"/>
  </r>
  <r>
    <x v="90"/>
    <x v="58"/>
    <s v="CUST046"/>
    <s v="Kathleen Bennett"/>
    <s v="P006"/>
    <s v="Office Chair"/>
    <s v="Furniture"/>
    <n v="4"/>
    <n v="199.99"/>
    <s v="Cash"/>
    <x v="2"/>
    <s v="Standard"/>
    <d v="2021-09-19T00:00:00"/>
    <n v="799.96"/>
    <d v="2026-03-03T18:05:23"/>
    <d v="2026-03-03T18:05:23"/>
    <n v="148665.16000000006"/>
    <n v="4.8"/>
    <n v="959.952"/>
    <n v="178398.19200000004"/>
    <n v="133798.64400000012"/>
    <n v="162416.68730000014"/>
  </r>
  <r>
    <x v="91"/>
    <x v="59"/>
    <s v="CUST028"/>
    <s v="Betty Campbell"/>
    <s v="P006"/>
    <s v="Office Chair"/>
    <s v="Furniture"/>
    <n v="5"/>
    <n v="199.99"/>
    <s v="Cash"/>
    <x v="2"/>
    <s v="Premium"/>
    <d v="2023-03-06T00:00:00"/>
    <n v="999.95"/>
    <d v="2026-03-03T18:05:23"/>
    <d v="2026-03-03T18:05:23"/>
    <n v="147865.20000000004"/>
    <n v="6"/>
    <n v="1199.94"/>
    <n v="177438.24000000002"/>
    <n v="133078.68000000011"/>
    <n v="161542.73100000012"/>
  </r>
  <r>
    <x v="92"/>
    <x v="60"/>
    <s v="CUST025"/>
    <s v="Mark Carter"/>
    <s v="P010"/>
    <s v="Keyboard"/>
    <s v="Electronics"/>
    <n v="2"/>
    <n v="89.99"/>
    <s v="Cash"/>
    <x v="4"/>
    <s v="Premium"/>
    <d v="2023-02-15T00:00:00"/>
    <n v="179.98"/>
    <d v="2026-03-03T18:05:23"/>
    <d v="2026-03-03T18:05:23"/>
    <n v="146865.25000000006"/>
    <n v="2.4"/>
    <n v="215.97599999999997"/>
    <n v="176238.30000000002"/>
    <n v="132178.72500000012"/>
    <n v="160450.28562500011"/>
  </r>
  <r>
    <x v="93"/>
    <x v="61"/>
    <s v="CUST047"/>
    <s v="Gerald Murphy"/>
    <s v="P001"/>
    <s v="Laptop"/>
    <s v="Electronics"/>
    <n v="5"/>
    <n v="899.99"/>
    <s v="Debit Card"/>
    <x v="4"/>
    <s v="Basic"/>
    <d v="2021-11-26T00:00:00"/>
    <n v="4499.95"/>
    <d v="2026-03-03T18:05:23"/>
    <d v="2026-03-03T18:05:23"/>
    <n v="146685.27000000008"/>
    <n v="6"/>
    <n v="5399.9400000000005"/>
    <n v="176022.32400000002"/>
    <n v="132016.7430000001"/>
    <n v="160253.6574750001"/>
  </r>
  <r>
    <x v="94"/>
    <x v="61"/>
    <s v="CUST036"/>
    <s v="Nancy Collins"/>
    <s v="P003"/>
    <s v="Headphones"/>
    <s v="Electronics"/>
    <n v="3"/>
    <n v="149.99"/>
    <s v="PayPal"/>
    <x v="4"/>
    <s v="Basic"/>
    <d v="2022-01-13T00:00:00"/>
    <n v="449.97"/>
    <d v="2026-03-03T18:05:23"/>
    <d v="2026-03-03T18:05:23"/>
    <n v="142185.32000000004"/>
    <n v="3.5999999999999996"/>
    <n v="539.96399999999994"/>
    <n v="170622.38400000005"/>
    <n v="127966.78800000012"/>
    <n v="155337.46210000003"/>
  </r>
  <r>
    <x v="95"/>
    <x v="62"/>
    <s v="CUST044"/>
    <s v="Cynthia Price"/>
    <s v="P008"/>
    <s v="Bookshelf"/>
    <s v="Furniture"/>
    <n v="5"/>
    <n v="149.99"/>
    <s v="Credit Card"/>
    <x v="0"/>
    <s v="Basic"/>
    <d v="2024-01-19T00:00:00"/>
    <n v="749.95"/>
    <d v="2026-03-03T18:05:23"/>
    <d v="2026-03-03T18:05:23"/>
    <n v="141735.35000000003"/>
    <n v="6"/>
    <n v="899.94"/>
    <n v="170082.42"/>
    <n v="127561.81500000012"/>
    <n v="154845.86987500003"/>
  </r>
  <r>
    <x v="96"/>
    <x v="63"/>
    <s v="CUST039"/>
    <s v="Lawrence Reed"/>
    <s v="P004"/>
    <s v="Coffee Maker"/>
    <s v="Appliances"/>
    <n v="3"/>
    <n v="79.989999999999995"/>
    <s v="Cash"/>
    <x v="0"/>
    <s v="Premium"/>
    <d v="2022-08-06T00:00:00"/>
    <n v="239.97"/>
    <d v="2026-03-03T18:05:23"/>
    <d v="2026-03-03T18:05:23"/>
    <n v="140985.40000000005"/>
    <n v="3.5999999999999996"/>
    <n v="287.96399999999994"/>
    <n v="169182.48"/>
    <n v="126886.86000000013"/>
    <n v="154026.54950000002"/>
  </r>
  <r>
    <x v="97"/>
    <x v="63"/>
    <s v="CUST035"/>
    <s v="Harry Morgan"/>
    <s v="P009"/>
    <s v="Monitor"/>
    <s v="Electronics"/>
    <n v="2"/>
    <n v="249.99"/>
    <s v="Cash"/>
    <x v="1"/>
    <s v="Standard"/>
    <d v="2022-01-11T00:00:00"/>
    <n v="499.98"/>
    <d v="2026-03-03T18:05:23"/>
    <d v="2026-03-03T18:05:23"/>
    <n v="140745.43000000005"/>
    <n v="2.4"/>
    <n v="599.976"/>
    <n v="168894.516"/>
    <n v="126670.88700000013"/>
    <n v="153764.38227500001"/>
  </r>
  <r>
    <x v="98"/>
    <x v="64"/>
    <s v="CUST047"/>
    <s v="Gerald Murphy"/>
    <s v="P002"/>
    <s v="Smartphone"/>
    <s v="Electronics"/>
    <n v="1"/>
    <n v="699.99"/>
    <s v="Cash"/>
    <x v="0"/>
    <s v="Premium"/>
    <d v="2021-10-28T00:00:00"/>
    <n v="699.99"/>
    <d v="2026-03-03T18:05:23"/>
    <d v="2026-03-03T18:05:23"/>
    <n v="140245.45000000004"/>
    <n v="1.2"/>
    <n v="839.98799999999994"/>
    <n v="168294.54"/>
    <n v="126220.90500000012"/>
    <n v="153218.15412500003"/>
  </r>
  <r>
    <x v="99"/>
    <x v="64"/>
    <s v="CUST034"/>
    <s v="Carol Evans"/>
    <s v="P003"/>
    <s v="Headphones"/>
    <s v="Electronics"/>
    <n v="3"/>
    <n v="149.99"/>
    <s v="Cash"/>
    <x v="3"/>
    <s v="Premium"/>
    <d v="2023-10-13T00:00:00"/>
    <n v="449.97"/>
    <d v="2026-03-03T18:05:23"/>
    <d v="2026-03-03T18:05:23"/>
    <n v="139545.46000000005"/>
    <n v="3.5999999999999996"/>
    <n v="539.96399999999994"/>
    <n v="167454.55200000003"/>
    <n v="125590.91400000014"/>
    <n v="152453.41505000001"/>
  </r>
  <r>
    <x v="100"/>
    <x v="65"/>
    <s v="CUST032"/>
    <s v="Sandra Phillips"/>
    <s v="P002"/>
    <s v="Smartphone"/>
    <s v="Electronics"/>
    <n v="2"/>
    <n v="699.99"/>
    <s v="Credit Card"/>
    <x v="2"/>
    <s v="Premium"/>
    <d v="2021-08-13T00:00:00"/>
    <n v="1399.98"/>
    <d v="2026-03-03T18:05:23"/>
    <d v="2026-03-03T18:05:23"/>
    <n v="139095.49000000008"/>
    <n v="2.4"/>
    <n v="1679.9759999999999"/>
    <n v="166914.58799999999"/>
    <n v="125185.94100000014"/>
    <n v="151961.82282500001"/>
  </r>
  <r>
    <x v="101"/>
    <x v="66"/>
    <s v="CUST034"/>
    <s v="Carol Evans"/>
    <s v="P009"/>
    <s v="Monitor"/>
    <s v="Electronics"/>
    <n v="1"/>
    <n v="249.99"/>
    <s v="Credit Card"/>
    <x v="3"/>
    <s v="Premium"/>
    <d v="2022-05-04T00:00:00"/>
    <n v="249.99"/>
    <d v="2026-03-03T18:05:23"/>
    <d v="2026-03-03T18:05:23"/>
    <n v="137695.51000000007"/>
    <n v="1.2"/>
    <n v="299.988"/>
    <n v="165234.61199999999"/>
    <n v="123925.95900000012"/>
    <n v="150432.34467500003"/>
  </r>
  <r>
    <x v="102"/>
    <x v="66"/>
    <s v="CUST023"/>
    <s v="Paul Baker"/>
    <s v="P009"/>
    <s v="Monitor"/>
    <s v="Electronics"/>
    <n v="1"/>
    <n v="249.99"/>
    <s v="Debit Card"/>
    <x v="2"/>
    <s v="Premium"/>
    <d v="2024-02-10T00:00:00"/>
    <n v="249.99"/>
    <d v="2026-03-03T18:05:23"/>
    <d v="2026-03-03T18:05:23"/>
    <n v="137445.52000000005"/>
    <n v="1.2"/>
    <n v="299.988"/>
    <n v="164934.62399999998"/>
    <n v="123700.96800000014"/>
    <n v="150159.23060000001"/>
  </r>
  <r>
    <x v="103"/>
    <x v="67"/>
    <s v="CUST039"/>
    <s v="Lawrence Reed"/>
    <s v="P002"/>
    <s v="Smartphone"/>
    <s v="Electronics"/>
    <n v="2"/>
    <n v="699.99"/>
    <s v="Debit Card"/>
    <x v="0"/>
    <s v="Premium"/>
    <d v="2022-11-05T00:00:00"/>
    <n v="1399.98"/>
    <d v="2026-03-03T18:05:23"/>
    <d v="2026-03-03T18:05:23"/>
    <n v="137195.53000000006"/>
    <n v="2.4"/>
    <n v="1679.9759999999999"/>
    <n v="164634.63600000003"/>
    <n v="123475.97700000013"/>
    <n v="149886.11652500002"/>
  </r>
  <r>
    <x v="104"/>
    <x v="68"/>
    <s v="CUST031"/>
    <s v="Steven Turner"/>
    <s v="P005"/>
    <s v="Blender"/>
    <s v="Appliances"/>
    <n v="3"/>
    <n v="59.99"/>
    <s v="Credit Card"/>
    <x v="0"/>
    <s v="Premium"/>
    <d v="2022-06-05T00:00:00"/>
    <n v="179.97"/>
    <d v="2026-03-03T18:05:23"/>
    <d v="2026-03-03T18:05:23"/>
    <n v="135795.55000000005"/>
    <n v="3.5999999999999996"/>
    <n v="215.964"/>
    <n v="162954.66"/>
    <n v="122215.99500000014"/>
    <n v="148356.63837500004"/>
  </r>
  <r>
    <x v="105"/>
    <x v="69"/>
    <s v="CUST002"/>
    <s v="Emma Wilson"/>
    <s v="P005"/>
    <s v="Blender"/>
    <s v="Appliances"/>
    <n v="3"/>
    <n v="59.99"/>
    <s v="PayPal"/>
    <x v="4"/>
    <s v="Standard"/>
    <d v="2022-07-06T00:00:00"/>
    <n v="179.97"/>
    <d v="2026-03-03T18:05:23"/>
    <d v="2026-03-03T18:05:23"/>
    <n v="135615.58000000005"/>
    <n v="3.5999999999999996"/>
    <n v="215.964"/>
    <n v="162738.696"/>
    <n v="122054.02200000011"/>
    <n v="148160.02115000004"/>
  </r>
  <r>
    <x v="106"/>
    <x v="69"/>
    <s v="CUST008"/>
    <s v="Jennifer Taylor"/>
    <s v="P004"/>
    <s v="Coffee Maker"/>
    <s v="Appliances"/>
    <n v="4"/>
    <n v="79.989999999999995"/>
    <s v="Cash"/>
    <x v="2"/>
    <s v="Basic"/>
    <d v="2021-11-30T00:00:00"/>
    <n v="319.95999999999998"/>
    <d v="2026-03-03T18:05:23"/>
    <d v="2026-03-03T18:05:23"/>
    <n v="135435.61000000004"/>
    <n v="4.8"/>
    <n v="383.95199999999994"/>
    <n v="162522.73199999999"/>
    <n v="121892.04900000012"/>
    <n v="147963.40392500005"/>
  </r>
  <r>
    <x v="107"/>
    <x v="70"/>
    <s v="CUST017"/>
    <s v="Charles Allen"/>
    <s v="P004"/>
    <s v="Coffee Maker"/>
    <s v="Appliances"/>
    <n v="1"/>
    <n v="79.989999999999995"/>
    <s v="Cash"/>
    <x v="3"/>
    <s v="Basic"/>
    <d v="2022-05-12T00:00:00"/>
    <n v="79.989999999999995"/>
    <d v="2026-03-03T18:05:23"/>
    <d v="2026-03-03T18:05:23"/>
    <n v="135115.65000000002"/>
    <n v="1.2"/>
    <n v="95.987999999999985"/>
    <n v="162138.78"/>
    <n v="121604.08500000014"/>
    <n v="147613.84762500002"/>
  </r>
  <r>
    <x v="108"/>
    <x v="71"/>
    <s v="CUST024"/>
    <s v="Dorothy Nelson"/>
    <s v="P007"/>
    <s v="Desk"/>
    <s v="Furniture"/>
    <n v="3"/>
    <n v="299.99"/>
    <s v="Credit Card"/>
    <x v="0"/>
    <s v="Premium"/>
    <d v="2021-10-25T00:00:00"/>
    <n v="899.97"/>
    <d v="2026-03-03T18:05:23"/>
    <d v="2026-03-03T18:05:23"/>
    <n v="135035.66000000003"/>
    <n v="3.5999999999999996"/>
    <n v="1079.9639999999999"/>
    <n v="162042.79199999999"/>
    <n v="121532.09400000013"/>
    <n v="147526.45855000004"/>
  </r>
  <r>
    <x v="109"/>
    <x v="72"/>
    <s v="CUST046"/>
    <s v="Kathleen Bennett"/>
    <s v="P010"/>
    <s v="Keyboard"/>
    <s v="Electronics"/>
    <n v="2"/>
    <n v="89.99"/>
    <s v="Credit Card"/>
    <x v="1"/>
    <s v="Premium"/>
    <d v="2022-03-21T00:00:00"/>
    <n v="179.98"/>
    <d v="2026-03-03T18:05:23"/>
    <d v="2026-03-03T18:05:23"/>
    <n v="134135.69000000003"/>
    <n v="2.4"/>
    <n v="215.97599999999997"/>
    <n v="160962.82799999998"/>
    <n v="120722.12100000013"/>
    <n v="146543.24132500004"/>
  </r>
  <r>
    <x v="110"/>
    <x v="73"/>
    <s v="CUST042"/>
    <s v="Ruth Brooks"/>
    <s v="P003"/>
    <s v="Headphones"/>
    <s v="Electronics"/>
    <n v="4"/>
    <n v="149.99"/>
    <s v="Cash"/>
    <x v="2"/>
    <s v="Basic"/>
    <d v="2022-12-14T00:00:00"/>
    <n v="599.96"/>
    <d v="2026-03-03T18:05:23"/>
    <d v="2026-03-03T18:05:23"/>
    <n v="133955.71000000005"/>
    <n v="4.8"/>
    <n v="719.952"/>
    <n v="160746.85199999998"/>
    <n v="120560.13900000014"/>
    <n v="146346.61317500003"/>
  </r>
  <r>
    <x v="111"/>
    <x v="74"/>
    <s v="CUST026"/>
    <s v="Karen Hill"/>
    <s v="P009"/>
    <s v="Monitor"/>
    <s v="Electronics"/>
    <n v="2"/>
    <n v="249.99"/>
    <s v="PayPal"/>
    <x v="1"/>
    <s v="Basic"/>
    <d v="2023-03-08T00:00:00"/>
    <n v="499.98"/>
    <d v="2026-03-03T18:05:23"/>
    <d v="2026-03-03T18:05:23"/>
    <n v="133355.75000000006"/>
    <n v="2.4"/>
    <n v="599.976"/>
    <n v="160026.9"/>
    <n v="120020.17500000013"/>
    <n v="145691.15687500004"/>
  </r>
  <r>
    <x v="112"/>
    <x v="74"/>
    <s v="CUST004"/>
    <s v="Sarah Davis"/>
    <s v="P006"/>
    <s v="Office Chair"/>
    <s v="Furniture"/>
    <n v="4"/>
    <n v="199.99"/>
    <s v="Debit Card"/>
    <x v="4"/>
    <s v="Basic"/>
    <d v="2021-09-19T00:00:00"/>
    <n v="799.96"/>
    <d v="2026-03-03T18:05:23"/>
    <d v="2026-03-03T18:05:23"/>
    <n v="132855.77000000005"/>
    <n v="4.8"/>
    <n v="959.952"/>
    <n v="159426.924"/>
    <n v="119570.19300000014"/>
    <n v="145144.92872500003"/>
  </r>
  <r>
    <x v="113"/>
    <x v="75"/>
    <s v="CUST019"/>
    <s v="Daniel King"/>
    <s v="P010"/>
    <s v="Keyboard"/>
    <s v="Electronics"/>
    <n v="5"/>
    <n v="89.99"/>
    <s v="Credit Card"/>
    <x v="4"/>
    <s v="Premium"/>
    <d v="2021-09-07T00:00:00"/>
    <n v="449.95"/>
    <d v="2026-03-03T18:05:23"/>
    <d v="2026-03-03T18:05:23"/>
    <n v="132055.81000000006"/>
    <n v="6"/>
    <n v="539.93999999999994"/>
    <n v="158466.97200000001"/>
    <n v="118850.22900000014"/>
    <n v="144270.97242500004"/>
  </r>
  <r>
    <x v="114"/>
    <x v="75"/>
    <s v="CUST011"/>
    <s v="William White"/>
    <s v="P003"/>
    <s v="Headphones"/>
    <s v="Electronics"/>
    <n v="1"/>
    <n v="149.99"/>
    <s v="PayPal"/>
    <x v="4"/>
    <s v="Standard"/>
    <d v="2021-10-13T00:00:00"/>
    <n v="149.99"/>
    <d v="2026-03-03T18:05:23"/>
    <d v="2026-03-03T18:05:23"/>
    <n v="131605.86000000004"/>
    <n v="1.2"/>
    <n v="179.988"/>
    <n v="157927.03200000001"/>
    <n v="118445.27400000015"/>
    <n v="143779.40205000006"/>
  </r>
  <r>
    <x v="115"/>
    <x v="75"/>
    <s v="CUST041"/>
    <s v="Peter Richardson"/>
    <s v="P002"/>
    <s v="Smartphone"/>
    <s v="Electronics"/>
    <n v="4"/>
    <n v="699.99"/>
    <s v="PayPal"/>
    <x v="1"/>
    <s v="Basic"/>
    <d v="2022-02-26T00:00:00"/>
    <n v="2799.96"/>
    <d v="2026-03-03T18:05:23"/>
    <d v="2026-03-03T18:05:23"/>
    <n v="131455.87000000005"/>
    <n v="4.8"/>
    <n v="3359.9519999999998"/>
    <n v="157747.04399999999"/>
    <n v="118310.28300000014"/>
    <n v="143615.53797500007"/>
  </r>
  <r>
    <x v="116"/>
    <x v="76"/>
    <s v="CUST032"/>
    <s v="Sandra Phillips"/>
    <s v="P001"/>
    <s v="Laptop"/>
    <s v="Electronics"/>
    <n v="3"/>
    <n v="899.99"/>
    <s v="Credit Card"/>
    <x v="2"/>
    <s v="Standard"/>
    <d v="2023-08-19T00:00:00"/>
    <n v="2699.97"/>
    <d v="2026-03-03T18:05:23"/>
    <d v="2026-03-03T18:05:23"/>
    <n v="128655.91000000006"/>
    <n v="3.5999999999999996"/>
    <n v="3239.9639999999995"/>
    <n v="154387.092"/>
    <n v="115790.31900000013"/>
    <n v="140556.58167500005"/>
  </r>
  <r>
    <x v="117"/>
    <x v="77"/>
    <s v="CUST014"/>
    <s v="Linda Martin"/>
    <s v="P008"/>
    <s v="Bookshelf"/>
    <s v="Furniture"/>
    <n v="3"/>
    <n v="149.99"/>
    <s v="PayPal"/>
    <x v="4"/>
    <s v="Basic"/>
    <d v="2022-11-21T00:00:00"/>
    <n v="449.97"/>
    <d v="2026-03-03T18:05:23"/>
    <d v="2026-03-03T18:05:23"/>
    <n v="125955.94000000005"/>
    <n v="3.5999999999999996"/>
    <n v="539.96399999999994"/>
    <n v="151147.12800000003"/>
    <n v="113360.34600000011"/>
    <n v="137606.86445000002"/>
  </r>
  <r>
    <x v="118"/>
    <x v="78"/>
    <s v="CUST012"/>
    <s v="Patricia Moore"/>
    <s v="P007"/>
    <s v="Desk"/>
    <s v="Furniture"/>
    <n v="2"/>
    <n v="299.99"/>
    <s v="Debit Card"/>
    <x v="0"/>
    <s v="Basic"/>
    <d v="2022-01-08T00:00:00"/>
    <n v="599.98"/>
    <d v="2026-03-03T18:05:23"/>
    <d v="2026-03-03T18:05:23"/>
    <n v="125505.97000000004"/>
    <n v="2.4"/>
    <n v="719.976"/>
    <n v="150607.16400000002"/>
    <n v="112955.37300000011"/>
    <n v="137115.27222500002"/>
  </r>
  <r>
    <x v="119"/>
    <x v="79"/>
    <s v="CUST015"/>
    <s v="Richard Lee"/>
    <s v="P006"/>
    <s v="Office Chair"/>
    <s v="Furniture"/>
    <n v="1"/>
    <n v="199.99"/>
    <s v="Debit Card"/>
    <x v="4"/>
    <s v="Standard"/>
    <d v="2023-01-27T00:00:00"/>
    <n v="199.99"/>
    <d v="2026-03-03T18:05:23"/>
    <d v="2026-03-03T18:05:23"/>
    <n v="124905.99000000005"/>
    <n v="1.2"/>
    <n v="239.988"/>
    <n v="149887.18799999999"/>
    <n v="112415.39100000012"/>
    <n v="136459.79407500001"/>
  </r>
  <r>
    <x v="120"/>
    <x v="80"/>
    <s v="CUST003"/>
    <s v="Michael Brown"/>
    <s v="P007"/>
    <s v="Desk"/>
    <s v="Furniture"/>
    <n v="4"/>
    <n v="299.99"/>
    <s v="Cash"/>
    <x v="0"/>
    <s v="Premium"/>
    <d v="2021-09-21T00:00:00"/>
    <n v="1199.96"/>
    <d v="2026-03-03T18:05:23"/>
    <d v="2026-03-03T18:05:23"/>
    <n v="124706.00000000004"/>
    <n v="4.8"/>
    <n v="1439.952"/>
    <n v="149647.20000000001"/>
    <n v="112235.40000000011"/>
    <n v="136241.30500000002"/>
  </r>
  <r>
    <x v="121"/>
    <x v="81"/>
    <s v="CUST010"/>
    <s v="Maria Garcia"/>
    <s v="P005"/>
    <s v="Blender"/>
    <s v="Appliances"/>
    <n v="2"/>
    <n v="59.99"/>
    <s v="Credit Card"/>
    <x v="0"/>
    <s v="Basic"/>
    <d v="2022-01-18T00:00:00"/>
    <n v="119.98"/>
    <d v="2026-03-03T18:05:23"/>
    <d v="2026-03-03T18:05:23"/>
    <n v="123506.04000000002"/>
    <n v="2.4"/>
    <n v="143.976"/>
    <n v="148207.24800000002"/>
    <n v="111155.4360000001"/>
    <n v="134930.34870000003"/>
  </r>
  <r>
    <x v="122"/>
    <x v="81"/>
    <s v="CUST032"/>
    <s v="Sandra Phillips"/>
    <s v="P003"/>
    <s v="Headphones"/>
    <s v="Electronics"/>
    <n v="4"/>
    <n v="149.99"/>
    <s v="Credit Card"/>
    <x v="2"/>
    <s v="Premium"/>
    <d v="2023-05-30T00:00:00"/>
    <n v="599.96"/>
    <d v="2026-03-03T18:05:23"/>
    <d v="2026-03-03T18:05:23"/>
    <n v="123386.06000000003"/>
    <n v="4.8"/>
    <n v="719.952"/>
    <n v="148063.27200000003"/>
    <n v="111047.45400000011"/>
    <n v="134799.27055000002"/>
  </r>
  <r>
    <x v="123"/>
    <x v="82"/>
    <s v="CUST016"/>
    <s v="Elizabeth Hall"/>
    <s v="P002"/>
    <s v="Smartphone"/>
    <s v="Electronics"/>
    <n v="2"/>
    <n v="699.99"/>
    <s v="Debit Card"/>
    <x v="4"/>
    <s v="Premium"/>
    <d v="2023-12-14T00:00:00"/>
    <n v="1399.98"/>
    <d v="2026-03-03T18:05:23"/>
    <d v="2026-03-03T18:05:23"/>
    <n v="122786.10000000003"/>
    <n v="2.4"/>
    <n v="1679.9759999999999"/>
    <n v="147343.32000000004"/>
    <n v="110507.49000000011"/>
    <n v="134143.81425000002"/>
  </r>
  <r>
    <x v="124"/>
    <x v="82"/>
    <s v="CUST034"/>
    <s v="Carol Evans"/>
    <s v="P008"/>
    <s v="Bookshelf"/>
    <s v="Furniture"/>
    <n v="3"/>
    <n v="149.99"/>
    <s v="Credit Card"/>
    <x v="1"/>
    <s v="Standard"/>
    <d v="2023-01-14T00:00:00"/>
    <n v="449.97"/>
    <d v="2026-03-03T18:05:23"/>
    <d v="2026-03-03T18:05:23"/>
    <n v="121386.12000000002"/>
    <n v="3.5999999999999996"/>
    <n v="539.96399999999994"/>
    <n v="145663.34399999998"/>
    <n v="109247.50800000012"/>
    <n v="132614.33610000001"/>
  </r>
  <r>
    <x v="125"/>
    <x v="83"/>
    <s v="CUST019"/>
    <s v="Daniel King"/>
    <s v="P007"/>
    <s v="Desk"/>
    <s v="Furniture"/>
    <n v="3"/>
    <n v="299.99"/>
    <s v="Credit Card"/>
    <x v="0"/>
    <s v="Standard"/>
    <d v="2023-09-05T00:00:00"/>
    <n v="899.97"/>
    <d v="2026-03-03T18:05:23"/>
    <d v="2026-03-03T18:05:23"/>
    <n v="120936.15000000002"/>
    <n v="3.5999999999999996"/>
    <n v="1079.9639999999999"/>
    <n v="145123.38"/>
    <n v="108842.53500000012"/>
    <n v="132122.74387500001"/>
  </r>
  <r>
    <x v="126"/>
    <x v="84"/>
    <s v="CUST027"/>
    <s v="George Adams"/>
    <s v="P001"/>
    <s v="Laptop"/>
    <s v="Electronics"/>
    <n v="3"/>
    <n v="899.99"/>
    <s v="PayPal"/>
    <x v="3"/>
    <s v="Basic"/>
    <d v="2023-10-16T00:00:00"/>
    <n v="2699.97"/>
    <d v="2026-03-03T18:05:23"/>
    <d v="2026-03-03T18:05:23"/>
    <n v="120036.18000000002"/>
    <n v="3.5999999999999996"/>
    <n v="3239.9639999999995"/>
    <n v="144043.416"/>
    <n v="108032.56200000009"/>
    <n v="131139.52665000001"/>
  </r>
  <r>
    <x v="127"/>
    <x v="85"/>
    <s v="CUST018"/>
    <s v="Barbara Young"/>
    <s v="P002"/>
    <s v="Smartphone"/>
    <s v="Electronics"/>
    <n v="5"/>
    <n v="699.99"/>
    <s v="Cash"/>
    <x v="4"/>
    <s v="Standard"/>
    <d v="2023-03-23T00:00:00"/>
    <n v="3499.95"/>
    <d v="2026-03-03T18:05:23"/>
    <d v="2026-03-03T18:05:23"/>
    <n v="117336.21"/>
    <n v="6"/>
    <n v="4199.9400000000005"/>
    <n v="140803.45200000002"/>
    <n v="105602.58900000009"/>
    <n v="128189.809425"/>
  </r>
  <r>
    <x v="128"/>
    <x v="85"/>
    <s v="CUST049"/>
    <s v="Raymond Ross"/>
    <s v="P002"/>
    <s v="Smartphone"/>
    <s v="Electronics"/>
    <n v="4"/>
    <n v="699.99"/>
    <s v="Credit Card"/>
    <x v="0"/>
    <s v="Basic"/>
    <d v="2024-04-03T00:00:00"/>
    <n v="2799.96"/>
    <d v="2026-03-03T18:05:23"/>
    <d v="2026-03-03T18:05:23"/>
    <n v="113836.26"/>
    <n v="4.8"/>
    <n v="3359.9519999999998"/>
    <n v="136603.51200000002"/>
    <n v="102452.63400000009"/>
    <n v="124366.11405"/>
  </r>
  <r>
    <x v="129"/>
    <x v="85"/>
    <s v="CUST040"/>
    <s v="Sharon Butler"/>
    <s v="P001"/>
    <s v="Laptop"/>
    <s v="Electronics"/>
    <n v="1"/>
    <n v="899.99"/>
    <s v="Credit Card"/>
    <x v="4"/>
    <s v="Standard"/>
    <d v="2024-03-18T00:00:00"/>
    <n v="899.99"/>
    <d v="2026-03-03T18:05:23"/>
    <d v="2026-03-03T18:05:23"/>
    <n v="111036.29999999999"/>
    <n v="1.2"/>
    <n v="1079.9880000000001"/>
    <n v="133243.55999999997"/>
    <n v="99932.670000000086"/>
    <n v="121307.15775"/>
  </r>
  <r>
    <x v="130"/>
    <x v="86"/>
    <s v="CUST039"/>
    <s v="Lawrence Reed"/>
    <s v="P003"/>
    <s v="Headphones"/>
    <s v="Electronics"/>
    <n v="2"/>
    <n v="149.99"/>
    <s v="Credit Card"/>
    <x v="3"/>
    <s v="Basic"/>
    <d v="2022-12-21T00:00:00"/>
    <n v="299.98"/>
    <d v="2026-03-03T18:05:23"/>
    <d v="2026-03-03T18:05:23"/>
    <n v="110136.31"/>
    <n v="2.4"/>
    <n v="359.976"/>
    <n v="132163.57199999996"/>
    <n v="99122.679000000091"/>
    <n v="120323.91867499999"/>
  </r>
  <r>
    <x v="131"/>
    <x v="87"/>
    <s v="CUST039"/>
    <s v="Lawrence Reed"/>
    <s v="P010"/>
    <s v="Keyboard"/>
    <s v="Electronics"/>
    <n v="3"/>
    <n v="89.99"/>
    <s v="PayPal"/>
    <x v="0"/>
    <s v="Basic"/>
    <d v="2021-12-21T00:00:00"/>
    <n v="269.97000000000003"/>
    <d v="2026-03-03T18:05:23"/>
    <d v="2026-03-03T18:05:23"/>
    <n v="109836.33"/>
    <n v="3.5999999999999996"/>
    <n v="323.96399999999994"/>
    <n v="131803.59599999996"/>
    <n v="98852.697000000087"/>
    <n v="119996.190525"/>
  </r>
  <r>
    <x v="132"/>
    <x v="88"/>
    <s v="CUST046"/>
    <s v="Kathleen Bennett"/>
    <s v="P003"/>
    <s v="Headphones"/>
    <s v="Electronics"/>
    <n v="2"/>
    <n v="149.99"/>
    <s v="PayPal"/>
    <x v="0"/>
    <s v="Basic"/>
    <d v="2021-10-04T00:00:00"/>
    <n v="299.98"/>
    <d v="2026-03-03T18:05:23"/>
    <d v="2026-03-03T18:05:23"/>
    <n v="109566.36"/>
    <n v="2.4"/>
    <n v="359.976"/>
    <n v="131479.63199999995"/>
    <n v="98609.724000000089"/>
    <n v="119701.24830000001"/>
  </r>
  <r>
    <x v="133"/>
    <x v="88"/>
    <s v="CUST004"/>
    <s v="Sarah Davis"/>
    <s v="P002"/>
    <s v="Smartphone"/>
    <s v="Electronics"/>
    <n v="2"/>
    <n v="699.99"/>
    <s v="Cash"/>
    <x v="0"/>
    <s v="Basic"/>
    <d v="2023-03-07T00:00:00"/>
    <n v="1399.98"/>
    <d v="2026-03-03T18:05:23"/>
    <d v="2026-03-03T18:05:23"/>
    <n v="109266.37999999999"/>
    <n v="2.4"/>
    <n v="1679.9759999999999"/>
    <n v="131119.65599999996"/>
    <n v="98339.742000000086"/>
    <n v="119373.52015"/>
  </r>
  <r>
    <x v="134"/>
    <x v="89"/>
    <s v="CUST028"/>
    <s v="Betty Campbell"/>
    <s v="P002"/>
    <s v="Smartphone"/>
    <s v="Electronics"/>
    <n v="5"/>
    <n v="699.99"/>
    <s v="Cash"/>
    <x v="2"/>
    <s v="Premium"/>
    <d v="2022-03-15T00:00:00"/>
    <n v="3499.95"/>
    <d v="2026-03-03T18:05:23"/>
    <d v="2026-03-03T18:05:23"/>
    <n v="107866.4"/>
    <n v="6"/>
    <n v="4199.9400000000005"/>
    <n v="129439.67999999996"/>
    <n v="97079.760000000082"/>
    <n v="117844.04199999999"/>
  </r>
  <r>
    <x v="135"/>
    <x v="90"/>
    <s v="CUST049"/>
    <s v="Raymond Ross"/>
    <s v="P010"/>
    <s v="Keyboard"/>
    <s v="Electronics"/>
    <n v="3"/>
    <n v="89.99"/>
    <s v="Credit Card"/>
    <x v="2"/>
    <s v="Standard"/>
    <d v="2022-02-23T00:00:00"/>
    <n v="269.97000000000003"/>
    <d v="2026-03-03T18:05:23"/>
    <d v="2026-03-03T18:05:23"/>
    <n v="104366.45"/>
    <n v="3.5999999999999996"/>
    <n v="323.96399999999994"/>
    <n v="125239.73999999996"/>
    <n v="93929.805000000066"/>
    <n v="114020.34662499999"/>
  </r>
  <r>
    <x v="136"/>
    <x v="91"/>
    <s v="CUST023"/>
    <s v="Paul Baker"/>
    <s v="P009"/>
    <s v="Monitor"/>
    <s v="Electronics"/>
    <n v="5"/>
    <n v="249.99"/>
    <s v="Credit Card"/>
    <x v="1"/>
    <s v="Standard"/>
    <d v="2022-11-16T00:00:00"/>
    <n v="1249.95"/>
    <d v="2026-03-03T18:05:23"/>
    <d v="2026-03-03T18:05:23"/>
    <n v="104096.48"/>
    <n v="6"/>
    <n v="1499.94"/>
    <n v="124915.77599999995"/>
    <n v="93686.832000000068"/>
    <n v="113725.4044"/>
  </r>
  <r>
    <x v="137"/>
    <x v="92"/>
    <s v="CUST026"/>
    <s v="Karen Hill"/>
    <s v="P007"/>
    <s v="Desk"/>
    <s v="Furniture"/>
    <n v="3"/>
    <n v="299.99"/>
    <s v="Credit Card"/>
    <x v="1"/>
    <s v="Standard"/>
    <d v="2021-11-02T00:00:00"/>
    <n v="899.97"/>
    <d v="2026-03-03T18:05:23"/>
    <d v="2026-03-03T18:05:23"/>
    <n v="102846.53"/>
    <n v="3.5999999999999996"/>
    <n v="1079.9639999999999"/>
    <n v="123415.83599999995"/>
    <n v="92561.877000000066"/>
    <n v="112359.83402499997"/>
  </r>
  <r>
    <x v="138"/>
    <x v="93"/>
    <s v="CUST012"/>
    <s v="Patricia Moore"/>
    <s v="P010"/>
    <s v="Keyboard"/>
    <s v="Electronics"/>
    <n v="3"/>
    <n v="89.99"/>
    <s v="Credit Card"/>
    <x v="2"/>
    <s v="Premium"/>
    <d v="2021-08-12T00:00:00"/>
    <n v="269.97000000000003"/>
    <d v="2026-03-03T18:05:23"/>
    <d v="2026-03-03T18:05:23"/>
    <n v="101946.56"/>
    <n v="3.5999999999999996"/>
    <n v="323.96399999999994"/>
    <n v="122335.87199999997"/>
    <n v="91751.904000000082"/>
    <n v="111376.61679999997"/>
  </r>
  <r>
    <x v="139"/>
    <x v="94"/>
    <s v="CUST010"/>
    <s v="Maria Garcia"/>
    <s v="P008"/>
    <s v="Bookshelf"/>
    <s v="Furniture"/>
    <n v="2"/>
    <n v="149.99"/>
    <s v="Credit Card"/>
    <x v="3"/>
    <s v="Premium"/>
    <d v="2022-10-14T00:00:00"/>
    <n v="299.98"/>
    <d v="2026-03-03T18:05:23"/>
    <d v="2026-03-03T18:05:23"/>
    <n v="101676.59000000001"/>
    <n v="2.4"/>
    <n v="359.976"/>
    <n v="122011.90799999997"/>
    <n v="91508.931000000084"/>
    <n v="111081.67457499998"/>
  </r>
  <r>
    <x v="140"/>
    <x v="95"/>
    <s v="CUST020"/>
    <s v="Margaret Wright"/>
    <s v="P009"/>
    <s v="Monitor"/>
    <s v="Electronics"/>
    <n v="1"/>
    <n v="249.99"/>
    <s v="Credit Card"/>
    <x v="2"/>
    <s v="Premium"/>
    <d v="2022-09-24T00:00:00"/>
    <n v="249.99"/>
    <d v="2026-03-03T18:05:23"/>
    <d v="2026-03-03T18:05:23"/>
    <n v="101376.61"/>
    <n v="1.2"/>
    <n v="299.988"/>
    <n v="121651.93199999997"/>
    <n v="91238.949000000066"/>
    <n v="110753.94642499997"/>
  </r>
  <r>
    <x v="141"/>
    <x v="96"/>
    <s v="CUST041"/>
    <s v="Peter Richardson"/>
    <s v="P003"/>
    <s v="Headphones"/>
    <s v="Electronics"/>
    <n v="3"/>
    <n v="149.99"/>
    <s v="Cash"/>
    <x v="2"/>
    <s v="Basic"/>
    <d v="2022-07-27T00:00:00"/>
    <n v="449.97"/>
    <d v="2026-03-03T18:05:23"/>
    <d v="2026-03-03T18:05:23"/>
    <n v="101126.62"/>
    <n v="3.5999999999999996"/>
    <n v="539.96399999999994"/>
    <n v="121351.94399999996"/>
    <n v="91013.958000000071"/>
    <n v="110480.83234999998"/>
  </r>
  <r>
    <x v="142"/>
    <x v="96"/>
    <s v="CUST023"/>
    <s v="Paul Baker"/>
    <s v="P005"/>
    <s v="Blender"/>
    <s v="Appliances"/>
    <n v="5"/>
    <n v="59.99"/>
    <s v="PayPal"/>
    <x v="3"/>
    <s v="Premium"/>
    <d v="2022-05-13T00:00:00"/>
    <n v="299.95"/>
    <d v="2026-03-03T18:05:23"/>
    <d v="2026-03-03T18:05:23"/>
    <n v="100676.65"/>
    <n v="6"/>
    <n v="359.94"/>
    <n v="120811.97999999995"/>
    <n v="90608.985000000073"/>
    <n v="109989.24012499998"/>
  </r>
  <r>
    <x v="143"/>
    <x v="96"/>
    <s v="CUST012"/>
    <s v="Patricia Moore"/>
    <s v="P009"/>
    <s v="Monitor"/>
    <s v="Electronics"/>
    <n v="4"/>
    <n v="249.99"/>
    <s v="Credit Card"/>
    <x v="3"/>
    <s v="Standard"/>
    <d v="2022-04-08T00:00:00"/>
    <n v="999.96"/>
    <d v="2026-03-03T18:05:23"/>
    <d v="2026-03-03T18:05:23"/>
    <n v="100376.7"/>
    <n v="4.8"/>
    <n v="1199.952"/>
    <n v="120452.03999999995"/>
    <n v="90339.030000000072"/>
    <n v="109661.54474999997"/>
  </r>
  <r>
    <x v="144"/>
    <x v="97"/>
    <s v="CUST004"/>
    <s v="Sarah Davis"/>
    <s v="P008"/>
    <s v="Bookshelf"/>
    <s v="Furniture"/>
    <n v="5"/>
    <n v="149.99"/>
    <s v="PayPal"/>
    <x v="0"/>
    <s v="Basic"/>
    <d v="2022-12-06T00:00:00"/>
    <n v="749.95"/>
    <d v="2026-03-03T18:05:23"/>
    <d v="2026-03-03T18:05:23"/>
    <n v="99376.74"/>
    <n v="6"/>
    <n v="899.94"/>
    <n v="119252.08799999996"/>
    <n v="89439.066000000064"/>
    <n v="108569.08844999998"/>
  </r>
  <r>
    <x v="145"/>
    <x v="97"/>
    <s v="CUST027"/>
    <s v="George Adams"/>
    <s v="P005"/>
    <s v="Blender"/>
    <s v="Appliances"/>
    <n v="3"/>
    <n v="59.99"/>
    <s v="Debit Card"/>
    <x v="1"/>
    <s v="Standard"/>
    <d v="2023-11-30T00:00:00"/>
    <n v="179.97"/>
    <d v="2026-03-03T18:05:23"/>
    <d v="2026-03-03T18:05:23"/>
    <n v="98626.79"/>
    <n v="3.5999999999999996"/>
    <n v="215.964"/>
    <n v="118352.14799999996"/>
    <n v="88764.111000000063"/>
    <n v="107749.768075"/>
  </r>
  <r>
    <x v="146"/>
    <x v="98"/>
    <s v="CUST032"/>
    <s v="Sandra Phillips"/>
    <s v="P008"/>
    <s v="Bookshelf"/>
    <s v="Furniture"/>
    <n v="5"/>
    <n v="149.99"/>
    <s v="Cash"/>
    <x v="2"/>
    <s v="Basic"/>
    <d v="2022-11-04T00:00:00"/>
    <n v="749.95"/>
    <d v="2026-03-03T18:05:23"/>
    <d v="2026-03-03T18:05:23"/>
    <n v="98446.82"/>
    <n v="6"/>
    <n v="899.94"/>
    <n v="118136.18399999995"/>
    <n v="88602.138000000064"/>
    <n v="107553.15084999999"/>
  </r>
  <r>
    <x v="147"/>
    <x v="98"/>
    <s v="CUST025"/>
    <s v="Mark Carter"/>
    <s v="P002"/>
    <s v="Smartphone"/>
    <s v="Electronics"/>
    <n v="2"/>
    <n v="699.99"/>
    <s v="PayPal"/>
    <x v="3"/>
    <s v="Standard"/>
    <d v="2022-07-28T00:00:00"/>
    <n v="1399.98"/>
    <d v="2026-03-03T18:05:23"/>
    <d v="2026-03-03T18:05:23"/>
    <n v="97696.87"/>
    <n v="2.4"/>
    <n v="1679.9759999999999"/>
    <n v="117236.24399999995"/>
    <n v="87927.183000000063"/>
    <n v="106733.830475"/>
  </r>
  <r>
    <x v="148"/>
    <x v="99"/>
    <s v="CUST029"/>
    <s v="Edward Mitchell"/>
    <s v="P006"/>
    <s v="Office Chair"/>
    <s v="Furniture"/>
    <n v="4"/>
    <n v="199.99"/>
    <s v="Debit Card"/>
    <x v="0"/>
    <s v="Premium"/>
    <d v="2021-08-19T00:00:00"/>
    <n v="799.96"/>
    <d v="2026-03-03T18:05:23"/>
    <d v="2026-03-03T18:05:23"/>
    <n v="96296.890000000014"/>
    <n v="4.8"/>
    <n v="959.952"/>
    <n v="115556.26799999995"/>
    <n v="86667.201000000059"/>
    <n v="105204.35232499999"/>
  </r>
  <r>
    <x v="149"/>
    <x v="100"/>
    <s v="CUST033"/>
    <s v="Frank Torres"/>
    <s v="P005"/>
    <s v="Blender"/>
    <s v="Appliances"/>
    <n v="1"/>
    <n v="59.99"/>
    <s v="Debit Card"/>
    <x v="3"/>
    <s v="Standard"/>
    <d v="2021-12-30T00:00:00"/>
    <n v="59.99"/>
    <d v="2026-03-03T18:05:23"/>
    <d v="2026-03-03T18:05:23"/>
    <n v="95496.930000000008"/>
    <n v="1.2"/>
    <n v="71.988"/>
    <n v="114596.31599999993"/>
    <n v="85947.237000000066"/>
    <n v="104330.39602499999"/>
  </r>
  <r>
    <x v="150"/>
    <x v="100"/>
    <s v="CUST004"/>
    <s v="Sarah Davis"/>
    <s v="P002"/>
    <s v="Smartphone"/>
    <s v="Electronics"/>
    <n v="3"/>
    <n v="699.99"/>
    <s v="PayPal"/>
    <x v="3"/>
    <s v="Standard"/>
    <d v="2022-01-22T00:00:00"/>
    <n v="2099.9699999999998"/>
    <d v="2026-03-03T18:05:23"/>
    <d v="2026-03-03T18:05:23"/>
    <n v="95436.94"/>
    <n v="3.5999999999999996"/>
    <n v="2519.9639999999999"/>
    <n v="114524.32799999995"/>
    <n v="85893.246000000072"/>
    <n v="104264.85694999999"/>
  </r>
  <r>
    <x v="151"/>
    <x v="101"/>
    <s v="CUST045"/>
    <s v="Douglas Watson"/>
    <s v="P009"/>
    <s v="Monitor"/>
    <s v="Electronics"/>
    <n v="5"/>
    <n v="249.99"/>
    <s v="Credit Card"/>
    <x v="2"/>
    <s v="Basic"/>
    <d v="2022-11-08T00:00:00"/>
    <n v="1249.95"/>
    <d v="2026-03-03T18:05:23"/>
    <d v="2026-03-03T18:05:23"/>
    <n v="93336.969999999987"/>
    <n v="6"/>
    <n v="1499.94"/>
    <n v="112004.36399999994"/>
    <n v="84003.273000000059"/>
    <n v="101970.63972499999"/>
  </r>
  <r>
    <x v="152"/>
    <x v="102"/>
    <s v="CUST014"/>
    <s v="Linda Martin"/>
    <s v="P008"/>
    <s v="Bookshelf"/>
    <s v="Furniture"/>
    <n v="2"/>
    <n v="149.99"/>
    <s v="Cash"/>
    <x v="1"/>
    <s v="Standard"/>
    <d v="2023-06-24T00:00:00"/>
    <n v="299.98"/>
    <d v="2026-03-03T18:05:23"/>
    <d v="2026-03-03T18:05:23"/>
    <n v="92087.02"/>
    <n v="2.4"/>
    <n v="359.976"/>
    <n v="110504.42399999994"/>
    <n v="82878.318000000072"/>
    <n v="100605.06934999999"/>
  </r>
  <r>
    <x v="153"/>
    <x v="103"/>
    <s v="CUST021"/>
    <s v="Kevin Scott"/>
    <s v="P007"/>
    <s v="Desk"/>
    <s v="Furniture"/>
    <n v="3"/>
    <n v="299.99"/>
    <s v="Cash"/>
    <x v="1"/>
    <s v="Premium"/>
    <d v="2022-04-08T00:00:00"/>
    <n v="899.97"/>
    <d v="2026-03-03T18:05:23"/>
    <d v="2026-03-03T18:05:23"/>
    <n v="91787.040000000008"/>
    <n v="3.5999999999999996"/>
    <n v="1079.9639999999999"/>
    <n v="110144.44799999995"/>
    <n v="82608.336000000068"/>
    <n v="100277.3412"/>
  </r>
  <r>
    <x v="154"/>
    <x v="103"/>
    <s v="CUST017"/>
    <s v="Charles Allen"/>
    <s v="P009"/>
    <s v="Monitor"/>
    <s v="Electronics"/>
    <n v="5"/>
    <n v="249.99"/>
    <s v="Cash"/>
    <x v="0"/>
    <s v="Premium"/>
    <d v="2021-10-16T00:00:00"/>
    <n v="1249.95"/>
    <d v="2026-03-03T18:05:23"/>
    <d v="2026-03-03T18:05:23"/>
    <n v="90887.07"/>
    <n v="6"/>
    <n v="1499.94"/>
    <n v="109064.48399999994"/>
    <n v="81798.36300000007"/>
    <n v="99294.123974999995"/>
  </r>
  <r>
    <x v="155"/>
    <x v="103"/>
    <s v="CUST013"/>
    <s v="Joseph Jackson"/>
    <s v="P003"/>
    <s v="Headphones"/>
    <s v="Electronics"/>
    <n v="2"/>
    <n v="149.99"/>
    <s v="Cash"/>
    <x v="1"/>
    <s v="Premium"/>
    <d v="2021-10-06T00:00:00"/>
    <n v="299.98"/>
    <d v="2026-03-03T18:05:23"/>
    <d v="2026-03-03T18:05:23"/>
    <n v="89637.12000000001"/>
    <n v="2.4"/>
    <n v="359.976"/>
    <n v="107564.54399999997"/>
    <n v="80673.408000000069"/>
    <n v="97928.553599999985"/>
  </r>
  <r>
    <x v="156"/>
    <x v="103"/>
    <s v="CUST025"/>
    <s v="Mark Carter"/>
    <s v="P002"/>
    <s v="Smartphone"/>
    <s v="Electronics"/>
    <n v="5"/>
    <n v="699.99"/>
    <s v="Debit Card"/>
    <x v="3"/>
    <s v="Standard"/>
    <d v="2023-01-18T00:00:00"/>
    <n v="3499.95"/>
    <d v="2026-03-03T18:05:23"/>
    <d v="2026-03-03T18:05:23"/>
    <n v="89337.140000000014"/>
    <n v="6"/>
    <n v="4199.9400000000005"/>
    <n v="107204.56799999997"/>
    <n v="80403.42600000008"/>
    <n v="97600.825449999989"/>
  </r>
  <r>
    <x v="157"/>
    <x v="104"/>
    <s v="CUST011"/>
    <s v="William White"/>
    <s v="P009"/>
    <s v="Monitor"/>
    <s v="Electronics"/>
    <n v="4"/>
    <n v="249.99"/>
    <s v="PayPal"/>
    <x v="4"/>
    <s v="Premium"/>
    <d v="2023-06-21T00:00:00"/>
    <n v="999.96"/>
    <d v="2026-03-03T18:05:23"/>
    <d v="2026-03-03T18:05:23"/>
    <n v="85837.190000000031"/>
    <n v="4.8"/>
    <n v="1199.952"/>
    <n v="103004.62799999997"/>
    <n v="77253.471000000063"/>
    <n v="93777.130075000023"/>
  </r>
  <r>
    <x v="158"/>
    <x v="105"/>
    <s v="CUST024"/>
    <s v="Dorothy Nelson"/>
    <s v="P002"/>
    <s v="Smartphone"/>
    <s v="Electronics"/>
    <n v="4"/>
    <n v="699.99"/>
    <s v="Credit Card"/>
    <x v="2"/>
    <s v="Premium"/>
    <d v="2022-05-22T00:00:00"/>
    <n v="2799.96"/>
    <d v="2026-03-03T18:05:23"/>
    <d v="2026-03-03T18:05:23"/>
    <n v="84837.230000000025"/>
    <n v="4.8"/>
    <n v="3359.9519999999998"/>
    <n v="101804.67599999998"/>
    <n v="76353.507000000071"/>
    <n v="92684.673775000032"/>
  </r>
  <r>
    <x v="159"/>
    <x v="106"/>
    <s v="CUST036"/>
    <s v="Nancy Collins"/>
    <s v="P009"/>
    <s v="Monitor"/>
    <s v="Electronics"/>
    <n v="2"/>
    <n v="249.99"/>
    <s v="Credit Card"/>
    <x v="0"/>
    <s v="Premium"/>
    <d v="2021-07-19T00:00:00"/>
    <n v="499.98"/>
    <d v="2026-03-03T18:05:23"/>
    <d v="2026-03-03T18:05:23"/>
    <n v="82037.270000000019"/>
    <n v="2.4"/>
    <n v="599.976"/>
    <n v="98444.723999999958"/>
    <n v="73833.543000000078"/>
    <n v="89625.717475000027"/>
  </r>
  <r>
    <x v="160"/>
    <x v="106"/>
    <s v="CUST005"/>
    <s v="James Johnson"/>
    <s v="P005"/>
    <s v="Blender"/>
    <s v="Appliances"/>
    <n v="3"/>
    <n v="59.99"/>
    <s v="Cash"/>
    <x v="0"/>
    <s v="Premium"/>
    <d v="2023-05-06T00:00:00"/>
    <n v="179.97"/>
    <d v="2026-03-03T18:05:23"/>
    <d v="2026-03-03T18:05:23"/>
    <n v="81537.290000000023"/>
    <n v="3.5999999999999996"/>
    <n v="215.964"/>
    <n v="97844.747999999963"/>
    <n v="73383.56100000006"/>
    <n v="89079.489325000017"/>
  </r>
  <r>
    <x v="161"/>
    <x v="106"/>
    <s v="CUST008"/>
    <s v="Jennifer Taylor"/>
    <s v="P004"/>
    <s v="Coffee Maker"/>
    <s v="Appliances"/>
    <n v="4"/>
    <n v="79.989999999999995"/>
    <s v="Debit Card"/>
    <x v="4"/>
    <s v="Standard"/>
    <d v="2022-12-26T00:00:00"/>
    <n v="319.95999999999998"/>
    <d v="2026-03-03T18:05:23"/>
    <d v="2026-03-03T18:05:23"/>
    <n v="81357.320000000007"/>
    <n v="4.8"/>
    <n v="383.95199999999994"/>
    <n v="97628.783999999956"/>
    <n v="73221.588000000062"/>
    <n v="88882.872100000022"/>
  </r>
  <r>
    <x v="162"/>
    <x v="107"/>
    <s v="CUST030"/>
    <s v="Helen Roberts"/>
    <s v="P004"/>
    <s v="Coffee Maker"/>
    <s v="Appliances"/>
    <n v="3"/>
    <n v="79.989999999999995"/>
    <s v="Debit Card"/>
    <x v="4"/>
    <s v="Standard"/>
    <d v="2022-08-06T00:00:00"/>
    <n v="239.97"/>
    <d v="2026-03-03T18:05:23"/>
    <d v="2026-03-03T18:05:23"/>
    <n v="81037.360000000015"/>
    <n v="3.5999999999999996"/>
    <n v="287.96399999999994"/>
    <n v="97244.831999999966"/>
    <n v="72933.624000000054"/>
    <n v="88533.315800000026"/>
  </r>
  <r>
    <x v="163"/>
    <x v="108"/>
    <s v="CUST041"/>
    <s v="Peter Richardson"/>
    <s v="P001"/>
    <s v="Laptop"/>
    <s v="Electronics"/>
    <n v="2"/>
    <n v="899.99"/>
    <s v="Cash"/>
    <x v="2"/>
    <s v="Basic"/>
    <d v="2021-07-29T00:00:00"/>
    <n v="1799.98"/>
    <d v="2026-03-03T18:05:23"/>
    <d v="2026-03-03T18:05:23"/>
    <n v="80797.390000000014"/>
    <n v="2.4"/>
    <n v="2159.9760000000001"/>
    <n v="96956.867999999959"/>
    <n v="72717.651000000042"/>
    <n v="88271.148575000043"/>
  </r>
  <r>
    <x v="164"/>
    <x v="109"/>
    <s v="CUST007"/>
    <s v="David Martinez"/>
    <s v="P008"/>
    <s v="Bookshelf"/>
    <s v="Furniture"/>
    <n v="1"/>
    <n v="149.99"/>
    <s v="Debit Card"/>
    <x v="4"/>
    <s v="Standard"/>
    <d v="2023-10-01T00:00:00"/>
    <n v="149.99"/>
    <d v="2026-03-03T18:05:23"/>
    <d v="2026-03-03T18:05:23"/>
    <n v="78997.410000000018"/>
    <n v="1.2"/>
    <n v="179.988"/>
    <n v="94796.891999999963"/>
    <n v="71097.669000000053"/>
    <n v="86304.670425000033"/>
  </r>
  <r>
    <x v="165"/>
    <x v="109"/>
    <s v="CUST031"/>
    <s v="Steven Turner"/>
    <s v="P007"/>
    <s v="Desk"/>
    <s v="Furniture"/>
    <n v="2"/>
    <n v="299.99"/>
    <s v="Cash"/>
    <x v="4"/>
    <s v="Premium"/>
    <d v="2022-06-12T00:00:00"/>
    <n v="599.98"/>
    <d v="2026-03-03T18:05:23"/>
    <d v="2026-03-03T18:05:23"/>
    <n v="78847.420000000013"/>
    <n v="2.4"/>
    <n v="719.976"/>
    <n v="94616.90399999998"/>
    <n v="70962.678000000044"/>
    <n v="86140.806350000043"/>
  </r>
  <r>
    <x v="166"/>
    <x v="110"/>
    <s v="CUST002"/>
    <s v="Emma Wilson"/>
    <s v="P005"/>
    <s v="Blender"/>
    <s v="Appliances"/>
    <n v="2"/>
    <n v="59.99"/>
    <s v="Cash"/>
    <x v="3"/>
    <s v="Basic"/>
    <d v="2023-09-22T00:00:00"/>
    <n v="119.98"/>
    <d v="2026-03-03T18:05:23"/>
    <d v="2026-03-03T18:05:23"/>
    <n v="78247.440000000017"/>
    <n v="2.4"/>
    <n v="143.976"/>
    <n v="93896.927999999985"/>
    <n v="70422.696000000054"/>
    <n v="85485.328200000033"/>
  </r>
  <r>
    <x v="167"/>
    <x v="111"/>
    <s v="CUST007"/>
    <s v="David Martinez"/>
    <s v="P010"/>
    <s v="Keyboard"/>
    <s v="Electronics"/>
    <n v="1"/>
    <n v="89.99"/>
    <s v="Debit Card"/>
    <x v="0"/>
    <s v="Standard"/>
    <d v="2022-07-18T00:00:00"/>
    <n v="89.99"/>
    <d v="2026-03-03T18:05:23"/>
    <d v="2026-03-03T18:05:23"/>
    <n v="78127.460000000021"/>
    <n v="1.2"/>
    <n v="107.98799999999999"/>
    <n v="93752.951999999961"/>
    <n v="70314.714000000051"/>
    <n v="85354.250050000031"/>
  </r>
  <r>
    <x v="168"/>
    <x v="111"/>
    <s v="CUST019"/>
    <s v="Daniel King"/>
    <s v="P001"/>
    <s v="Laptop"/>
    <s v="Electronics"/>
    <n v="5"/>
    <n v="899.99"/>
    <s v="Debit Card"/>
    <x v="4"/>
    <s v="Standard"/>
    <d v="2022-03-05T00:00:00"/>
    <n v="4499.95"/>
    <d v="2026-03-03T18:05:23"/>
    <d v="2026-03-03T18:05:23"/>
    <n v="78037.470000000016"/>
    <n v="6"/>
    <n v="5399.9400000000005"/>
    <n v="93644.963999999978"/>
    <n v="70233.723000000042"/>
    <n v="85255.935975000044"/>
  </r>
  <r>
    <x v="169"/>
    <x v="112"/>
    <s v="CUST003"/>
    <s v="Michael Brown"/>
    <s v="P008"/>
    <s v="Bookshelf"/>
    <s v="Furniture"/>
    <n v="2"/>
    <n v="149.99"/>
    <s v="Cash"/>
    <x v="1"/>
    <s v="Basic"/>
    <d v="2023-11-09T00:00:00"/>
    <n v="299.98"/>
    <d v="2026-03-03T18:05:23"/>
    <d v="2026-03-03T18:05:23"/>
    <n v="73537.52"/>
    <n v="2.4"/>
    <n v="359.976"/>
    <n v="88245.024000000005"/>
    <n v="66183.768000000055"/>
    <n v="80339.740600000019"/>
  </r>
  <r>
    <x v="170"/>
    <x v="113"/>
    <s v="CUST014"/>
    <s v="Linda Martin"/>
    <s v="P003"/>
    <s v="Headphones"/>
    <s v="Electronics"/>
    <n v="2"/>
    <n v="149.99"/>
    <s v="Debit Card"/>
    <x v="3"/>
    <s v="Premium"/>
    <d v="2023-12-20T00:00:00"/>
    <n v="299.98"/>
    <d v="2026-03-03T18:05:23"/>
    <d v="2026-03-03T18:05:23"/>
    <n v="73237.540000000008"/>
    <n v="2.4"/>
    <n v="359.976"/>
    <n v="87885.047999999981"/>
    <n v="65913.786000000036"/>
    <n v="80012.012450000024"/>
  </r>
  <r>
    <x v="171"/>
    <x v="113"/>
    <s v="CUST007"/>
    <s v="David Martinez"/>
    <s v="P008"/>
    <s v="Bookshelf"/>
    <s v="Furniture"/>
    <n v="3"/>
    <n v="149.99"/>
    <s v="Debit Card"/>
    <x v="2"/>
    <s v="Standard"/>
    <d v="2021-11-22T00:00:00"/>
    <n v="449.97"/>
    <d v="2026-03-03T18:05:23"/>
    <d v="2026-03-03T18:05:23"/>
    <n v="72937.56"/>
    <n v="3.5999999999999996"/>
    <n v="539.96399999999994"/>
    <n v="87525.071999999986"/>
    <n v="65643.804000000062"/>
    <n v="79684.284300000028"/>
  </r>
  <r>
    <x v="172"/>
    <x v="114"/>
    <s v="CUST021"/>
    <s v="Kevin Scott"/>
    <s v="P007"/>
    <s v="Desk"/>
    <s v="Furniture"/>
    <n v="2"/>
    <n v="299.99"/>
    <s v="PayPal"/>
    <x v="1"/>
    <s v="Basic"/>
    <d v="2022-06-09T00:00:00"/>
    <n v="599.98"/>
    <d v="2026-03-03T18:05:23"/>
    <d v="2026-03-03T18:05:23"/>
    <n v="72487.590000000011"/>
    <n v="2.4"/>
    <n v="719.976"/>
    <n v="86985.107999999978"/>
    <n v="65238.831000000042"/>
    <n v="79192.692075000028"/>
  </r>
  <r>
    <x v="173"/>
    <x v="115"/>
    <s v="CUST003"/>
    <s v="Michael Brown"/>
    <s v="P007"/>
    <s v="Desk"/>
    <s v="Furniture"/>
    <n v="2"/>
    <n v="299.99"/>
    <s v="Cash"/>
    <x v="3"/>
    <s v="Basic"/>
    <d v="2022-07-29T00:00:00"/>
    <n v="599.98"/>
    <d v="2026-03-03T18:05:23"/>
    <d v="2026-03-03T18:05:23"/>
    <n v="71887.610000000015"/>
    <n v="2.4"/>
    <n v="719.976"/>
    <n v="86265.131999999983"/>
    <n v="64698.849000000053"/>
    <n v="78537.213925000018"/>
  </r>
  <r>
    <x v="174"/>
    <x v="115"/>
    <s v="CUST030"/>
    <s v="Helen Roberts"/>
    <s v="P006"/>
    <s v="Office Chair"/>
    <s v="Furniture"/>
    <n v="4"/>
    <n v="199.99"/>
    <s v="Credit Card"/>
    <x v="0"/>
    <s v="Basic"/>
    <d v="2021-11-23T00:00:00"/>
    <n v="799.96"/>
    <d v="2026-03-03T18:05:23"/>
    <d v="2026-03-03T18:05:23"/>
    <n v="71287.630000000019"/>
    <n v="4.8"/>
    <n v="959.952"/>
    <n v="85545.155999999988"/>
    <n v="64158.867000000049"/>
    <n v="77881.735775000023"/>
  </r>
  <r>
    <x v="175"/>
    <x v="116"/>
    <s v="CUST009"/>
    <s v="Robert Thomas"/>
    <s v="P010"/>
    <s v="Keyboard"/>
    <s v="Electronics"/>
    <n v="1"/>
    <n v="89.99"/>
    <s v="Credit Card"/>
    <x v="1"/>
    <s v="Premium"/>
    <d v="2022-01-30T00:00:00"/>
    <n v="89.99"/>
    <d v="2026-03-03T18:05:23"/>
    <d v="2026-03-03T18:05:23"/>
    <n v="70487.670000000013"/>
    <n v="1.2"/>
    <n v="107.98799999999999"/>
    <n v="84585.203999999969"/>
    <n v="63438.903000000057"/>
    <n v="77007.779475000032"/>
  </r>
  <r>
    <x v="176"/>
    <x v="116"/>
    <s v="CUST036"/>
    <s v="Nancy Collins"/>
    <s v="P008"/>
    <s v="Bookshelf"/>
    <s v="Furniture"/>
    <n v="5"/>
    <n v="149.99"/>
    <s v="Cash"/>
    <x v="0"/>
    <s v="Premium"/>
    <d v="2024-02-25T00:00:00"/>
    <n v="749.95"/>
    <d v="2026-03-03T18:05:23"/>
    <d v="2026-03-03T18:05:23"/>
    <n v="70397.680000000008"/>
    <n v="6"/>
    <n v="899.94"/>
    <n v="84477.215999999986"/>
    <n v="63357.912000000048"/>
    <n v="76909.46540000003"/>
  </r>
  <r>
    <x v="177"/>
    <x v="117"/>
    <s v="CUST025"/>
    <s v="Mark Carter"/>
    <s v="P001"/>
    <s v="Laptop"/>
    <s v="Electronics"/>
    <n v="1"/>
    <n v="899.99"/>
    <s v="PayPal"/>
    <x v="2"/>
    <s v="Premium"/>
    <d v="2023-05-04T00:00:00"/>
    <n v="899.99"/>
    <d v="2026-03-03T18:05:23"/>
    <d v="2026-03-03T18:05:23"/>
    <n v="69647.73000000001"/>
    <n v="1.2"/>
    <n v="1079.9880000000001"/>
    <n v="83577.276000000013"/>
    <n v="62682.957000000046"/>
    <n v="76090.14502500002"/>
  </r>
  <r>
    <x v="178"/>
    <x v="118"/>
    <s v="CUST019"/>
    <s v="Daniel King"/>
    <s v="P010"/>
    <s v="Keyboard"/>
    <s v="Electronics"/>
    <n v="2"/>
    <n v="89.99"/>
    <s v="Credit Card"/>
    <x v="1"/>
    <s v="Premium"/>
    <d v="2022-01-03T00:00:00"/>
    <n v="179.98"/>
    <d v="2026-03-03T18:05:23"/>
    <d v="2026-03-03T18:05:23"/>
    <n v="68747.74000000002"/>
    <n v="2.4"/>
    <n v="215.97599999999997"/>
    <n v="82497.288"/>
    <n v="61872.966000000051"/>
    <n v="75106.905950000029"/>
  </r>
  <r>
    <x v="179"/>
    <x v="119"/>
    <s v="CUST037"/>
    <s v="Arthur Edwards"/>
    <s v="P001"/>
    <s v="Laptop"/>
    <s v="Electronics"/>
    <n v="1"/>
    <n v="899.99"/>
    <s v="PayPal"/>
    <x v="2"/>
    <s v="Standard"/>
    <d v="2022-07-10T00:00:00"/>
    <n v="899.99"/>
    <d v="2026-03-03T18:05:23"/>
    <d v="2026-03-03T18:05:23"/>
    <n v="68567.760000000009"/>
    <n v="1.2"/>
    <n v="1079.9880000000001"/>
    <n v="82281.312000000005"/>
    <n v="61710.984000000048"/>
    <n v="74910.277800000025"/>
  </r>
  <r>
    <x v="180"/>
    <x v="120"/>
    <s v="CUST006"/>
    <s v="Lisa Anderson"/>
    <s v="P003"/>
    <s v="Headphones"/>
    <s v="Electronics"/>
    <n v="5"/>
    <n v="149.99"/>
    <s v="PayPal"/>
    <x v="4"/>
    <s v="Premium"/>
    <d v="2022-09-20T00:00:00"/>
    <n v="749.95"/>
    <d v="2026-03-03T18:05:23"/>
    <d v="2026-03-03T18:05:23"/>
    <n v="67667.77"/>
    <n v="6"/>
    <n v="899.94"/>
    <n v="81201.323999999993"/>
    <n v="60900.993000000053"/>
    <n v="73927.038725000035"/>
  </r>
  <r>
    <x v="181"/>
    <x v="120"/>
    <s v="CUST003"/>
    <s v="Michael Brown"/>
    <s v="P007"/>
    <s v="Desk"/>
    <s v="Furniture"/>
    <n v="3"/>
    <n v="299.99"/>
    <s v="Cash"/>
    <x v="1"/>
    <s v="Standard"/>
    <d v="2021-08-14T00:00:00"/>
    <n v="899.97"/>
    <d v="2026-03-03T18:05:23"/>
    <d v="2026-03-03T18:05:23"/>
    <n v="66917.820000000007"/>
    <n v="3.5999999999999996"/>
    <n v="1079.9639999999999"/>
    <n v="80301.383999999991"/>
    <n v="60226.038000000051"/>
    <n v="73107.718350000025"/>
  </r>
  <r>
    <x v="182"/>
    <x v="121"/>
    <s v="CUST026"/>
    <s v="Karen Hill"/>
    <s v="P002"/>
    <s v="Smartphone"/>
    <s v="Electronics"/>
    <n v="3"/>
    <n v="699.99"/>
    <s v="Credit Card"/>
    <x v="0"/>
    <s v="Premium"/>
    <d v="2023-06-28T00:00:00"/>
    <n v="2099.9699999999998"/>
    <d v="2026-03-03T18:05:23"/>
    <d v="2026-03-03T18:05:23"/>
    <n v="66017.850000000006"/>
    <n v="3.5999999999999996"/>
    <n v="2519.9639999999999"/>
    <n v="79221.419999999984"/>
    <n v="59416.065000000053"/>
    <n v="72124.501125000024"/>
  </r>
  <r>
    <x v="183"/>
    <x v="122"/>
    <s v="CUST036"/>
    <s v="Nancy Collins"/>
    <s v="P006"/>
    <s v="Office Chair"/>
    <s v="Furniture"/>
    <n v="5"/>
    <n v="199.99"/>
    <s v="PayPal"/>
    <x v="0"/>
    <s v="Standard"/>
    <d v="2022-03-13T00:00:00"/>
    <n v="999.95"/>
    <d v="2026-03-03T18:05:23"/>
    <d v="2026-03-03T18:05:23"/>
    <n v="63917.880000000019"/>
    <n v="6"/>
    <n v="1199.94"/>
    <n v="76701.456000000006"/>
    <n v="57526.092000000055"/>
    <n v="69830.283900000024"/>
  </r>
  <r>
    <x v="184"/>
    <x v="122"/>
    <s v="CUST048"/>
    <s v="Virginia Sanders"/>
    <s v="P009"/>
    <s v="Monitor"/>
    <s v="Electronics"/>
    <n v="5"/>
    <n v="249.99"/>
    <s v="Credit Card"/>
    <x v="1"/>
    <s v="Basic"/>
    <d v="2024-02-08T00:00:00"/>
    <n v="1249.95"/>
    <d v="2026-03-03T18:05:23"/>
    <d v="2026-03-03T18:05:23"/>
    <n v="62917.930000000022"/>
    <n v="6"/>
    <n v="1499.94"/>
    <n v="75501.515999999974"/>
    <n v="56626.137000000039"/>
    <n v="68737.838525000014"/>
  </r>
  <r>
    <x v="185"/>
    <x v="123"/>
    <s v="CUST031"/>
    <s v="Steven Turner"/>
    <s v="P003"/>
    <s v="Headphones"/>
    <s v="Electronics"/>
    <n v="4"/>
    <n v="149.99"/>
    <s v="Debit Card"/>
    <x v="4"/>
    <s v="Standard"/>
    <d v="2021-12-06T00:00:00"/>
    <n v="599.96"/>
    <d v="2026-03-03T18:05:23"/>
    <d v="2026-03-03T18:05:23"/>
    <n v="61667.980000000032"/>
    <n v="4.8"/>
    <n v="719.952"/>
    <n v="74001.575999999972"/>
    <n v="55501.182000000037"/>
    <n v="67372.268150000018"/>
  </r>
  <r>
    <x v="186"/>
    <x v="123"/>
    <s v="CUST038"/>
    <s v="Michelle Rogers"/>
    <s v="P002"/>
    <s v="Smartphone"/>
    <s v="Electronics"/>
    <n v="3"/>
    <n v="699.99"/>
    <s v="Cash"/>
    <x v="2"/>
    <s v="Premium"/>
    <d v="2022-02-10T00:00:00"/>
    <n v="2099.9699999999998"/>
    <d v="2026-03-03T18:05:23"/>
    <d v="2026-03-03T18:05:23"/>
    <n v="61068.020000000033"/>
    <n v="3.5999999999999996"/>
    <n v="2519.9639999999999"/>
    <n v="73281.623999999982"/>
    <n v="54961.21800000003"/>
    <n v="66716.811850000027"/>
  </r>
  <r>
    <x v="187"/>
    <x v="124"/>
    <s v="CUST045"/>
    <s v="Douglas Watson"/>
    <s v="P004"/>
    <s v="Coffee Maker"/>
    <s v="Appliances"/>
    <n v="1"/>
    <n v="79.989999999999995"/>
    <s v="Credit Card"/>
    <x v="1"/>
    <s v="Basic"/>
    <d v="2024-01-31T00:00:00"/>
    <n v="79.989999999999995"/>
    <d v="2026-03-03T18:05:23"/>
    <d v="2026-03-03T18:05:23"/>
    <n v="58968.050000000017"/>
    <n v="1.2"/>
    <n v="95.987999999999985"/>
    <n v="70761.66"/>
    <n v="53071.245000000017"/>
    <n v="64422.59462500002"/>
  </r>
  <r>
    <x v="188"/>
    <x v="124"/>
    <s v="CUST025"/>
    <s v="Mark Carter"/>
    <s v="P007"/>
    <s v="Desk"/>
    <s v="Furniture"/>
    <n v="1"/>
    <n v="299.99"/>
    <s v="Credit Card"/>
    <x v="2"/>
    <s v="Basic"/>
    <d v="2021-08-28T00:00:00"/>
    <n v="299.99"/>
    <d v="2026-03-03T18:05:23"/>
    <d v="2026-03-03T18:05:23"/>
    <n v="58888.060000000019"/>
    <n v="1.2"/>
    <n v="359.988"/>
    <n v="70665.671999999991"/>
    <n v="52999.254000000023"/>
    <n v="64335.205550000021"/>
  </r>
  <r>
    <x v="189"/>
    <x v="125"/>
    <s v="CUST028"/>
    <s v="Betty Campbell"/>
    <s v="P009"/>
    <s v="Monitor"/>
    <s v="Electronics"/>
    <n v="4"/>
    <n v="249.99"/>
    <s v="Credit Card"/>
    <x v="2"/>
    <s v="Premium"/>
    <d v="2021-09-21T00:00:00"/>
    <n v="999.96"/>
    <d v="2026-03-03T18:05:23"/>
    <d v="2026-03-03T18:05:23"/>
    <n v="58588.070000000014"/>
    <n v="4.8"/>
    <n v="1199.952"/>
    <n v="70305.684000000008"/>
    <n v="52729.263000000014"/>
    <n v="64007.466475000016"/>
  </r>
  <r>
    <x v="190"/>
    <x v="125"/>
    <s v="CUST030"/>
    <s v="Helen Roberts"/>
    <s v="P003"/>
    <s v="Headphones"/>
    <s v="Electronics"/>
    <n v="2"/>
    <n v="149.99"/>
    <s v="Cash"/>
    <x v="2"/>
    <s v="Standard"/>
    <d v="2022-12-18T00:00:00"/>
    <n v="299.98"/>
    <d v="2026-03-03T18:05:23"/>
    <d v="2026-03-03T18:05:23"/>
    <n v="57588.110000000015"/>
    <n v="2.4"/>
    <n v="359.976"/>
    <n v="69105.731999999989"/>
    <n v="51829.299000000021"/>
    <n v="62915.01017500001"/>
  </r>
  <r>
    <x v="191"/>
    <x v="125"/>
    <s v="CUST032"/>
    <s v="Sandra Phillips"/>
    <s v="P007"/>
    <s v="Desk"/>
    <s v="Furniture"/>
    <n v="3"/>
    <n v="299.99"/>
    <s v="Credit Card"/>
    <x v="1"/>
    <s v="Basic"/>
    <d v="2023-10-05T00:00:00"/>
    <n v="899.97"/>
    <d v="2026-03-03T18:05:23"/>
    <d v="2026-03-03T18:05:23"/>
    <n v="57288.130000000019"/>
    <n v="3.5999999999999996"/>
    <n v="1079.9639999999999"/>
    <n v="68745.756000000023"/>
    <n v="51559.317000000017"/>
    <n v="62587.282025000008"/>
  </r>
  <r>
    <x v="192"/>
    <x v="126"/>
    <s v="CUST039"/>
    <s v="Lawrence Reed"/>
    <s v="P006"/>
    <s v="Office Chair"/>
    <s v="Furniture"/>
    <n v="4"/>
    <n v="199.99"/>
    <s v="Debit Card"/>
    <x v="1"/>
    <s v="Standard"/>
    <d v="2021-12-14T00:00:00"/>
    <n v="799.96"/>
    <d v="2026-03-03T18:05:23"/>
    <d v="2026-03-03T18:05:23"/>
    <n v="56388.160000000018"/>
    <n v="4.8"/>
    <n v="959.952"/>
    <n v="67665.792000000016"/>
    <n v="50749.344000000019"/>
    <n v="61604.0648"/>
  </r>
  <r>
    <x v="193"/>
    <x v="126"/>
    <s v="CUST016"/>
    <s v="Elizabeth Hall"/>
    <s v="P007"/>
    <s v="Desk"/>
    <s v="Furniture"/>
    <n v="5"/>
    <n v="299.99"/>
    <s v="Debit Card"/>
    <x v="0"/>
    <s v="Basic"/>
    <d v="2021-08-23T00:00:00"/>
    <n v="1499.95"/>
    <d v="2026-03-03T18:05:23"/>
    <d v="2026-03-03T18:05:23"/>
    <n v="55588.200000000019"/>
    <n v="6"/>
    <n v="1799.94"/>
    <n v="66705.840000000026"/>
    <n v="50029.380000000012"/>
    <n v="60730.108500000002"/>
  </r>
  <r>
    <x v="194"/>
    <x v="126"/>
    <s v="CUST009"/>
    <s v="Robert Thomas"/>
    <s v="P008"/>
    <s v="Bookshelf"/>
    <s v="Furniture"/>
    <n v="3"/>
    <n v="149.99"/>
    <s v="Credit Card"/>
    <x v="4"/>
    <s v="Standard"/>
    <d v="2021-07-18T00:00:00"/>
    <n v="449.97"/>
    <d v="2026-03-03T18:05:23"/>
    <d v="2026-03-03T18:05:23"/>
    <n v="54088.250000000015"/>
    <n v="3.5999999999999996"/>
    <n v="539.96399999999994"/>
    <n v="64905.900000000016"/>
    <n v="48679.42500000001"/>
    <n v="59091.413125000006"/>
  </r>
  <r>
    <x v="195"/>
    <x v="127"/>
    <s v="CUST006"/>
    <s v="Lisa Anderson"/>
    <s v="P005"/>
    <s v="Blender"/>
    <s v="Appliances"/>
    <n v="5"/>
    <n v="59.99"/>
    <s v="Debit Card"/>
    <x v="4"/>
    <s v="Basic"/>
    <d v="2022-03-22T00:00:00"/>
    <n v="299.95"/>
    <d v="2026-03-03T18:05:23"/>
    <d v="2026-03-03T18:05:23"/>
    <n v="53638.280000000021"/>
    <n v="6"/>
    <n v="359.94"/>
    <n v="64365.936000000009"/>
    <n v="48274.452000000012"/>
    <n v="58599.820900000006"/>
  </r>
  <r>
    <x v="196"/>
    <x v="128"/>
    <s v="CUST022"/>
    <s v="Susan Green"/>
    <s v="P005"/>
    <s v="Blender"/>
    <s v="Appliances"/>
    <n v="4"/>
    <n v="59.99"/>
    <s v="Debit Card"/>
    <x v="4"/>
    <s v="Standard"/>
    <d v="2022-01-03T00:00:00"/>
    <n v="239.96"/>
    <d v="2026-03-03T18:05:23"/>
    <d v="2026-03-03T18:05:23"/>
    <n v="53338.330000000016"/>
    <n v="4.8"/>
    <n v="287.952"/>
    <n v="64005.996000000006"/>
    <n v="48004.49700000001"/>
    <n v="58272.125525000003"/>
  </r>
  <r>
    <x v="197"/>
    <x v="129"/>
    <s v="CUST024"/>
    <s v="Dorothy Nelson"/>
    <s v="P009"/>
    <s v="Monitor"/>
    <s v="Electronics"/>
    <n v="4"/>
    <n v="249.99"/>
    <s v="Debit Card"/>
    <x v="0"/>
    <s v="Premium"/>
    <d v="2023-10-18T00:00:00"/>
    <n v="999.96"/>
    <d v="2026-03-03T18:05:23"/>
    <d v="2026-03-03T18:05:23"/>
    <n v="53098.370000000017"/>
    <n v="4.8"/>
    <n v="1199.952"/>
    <n v="63718.044000000009"/>
    <n v="47788.533000000018"/>
    <n v="58009.969225000008"/>
  </r>
  <r>
    <x v="198"/>
    <x v="130"/>
    <s v="CUST011"/>
    <s v="William White"/>
    <s v="P001"/>
    <s v="Laptop"/>
    <s v="Electronics"/>
    <n v="4"/>
    <n v="899.99"/>
    <s v="PayPal"/>
    <x v="0"/>
    <s v="Basic"/>
    <d v="2022-06-22T00:00:00"/>
    <n v="3599.96"/>
    <d v="2026-03-03T18:05:23"/>
    <d v="2026-03-03T18:05:23"/>
    <n v="52098.410000000018"/>
    <n v="4.8"/>
    <n v="4319.9520000000002"/>
    <n v="62518.092000000011"/>
    <n v="46888.56900000001"/>
    <n v="56917.512925000003"/>
  </r>
  <r>
    <x v="199"/>
    <x v="130"/>
    <s v="CUST025"/>
    <s v="Mark Carter"/>
    <s v="P007"/>
    <s v="Desk"/>
    <s v="Furniture"/>
    <n v="3"/>
    <n v="299.99"/>
    <s v="Debit Card"/>
    <x v="3"/>
    <s v="Standard"/>
    <d v="2023-01-26T00:00:00"/>
    <n v="899.97"/>
    <d v="2026-03-03T18:05:23"/>
    <d v="2026-03-03T18:05:23"/>
    <n v="48498.450000000019"/>
    <n v="3.5999999999999996"/>
    <n v="1079.9639999999999"/>
    <n v="58198.14"/>
    <n v="43648.605000000003"/>
    <n v="52984.55662499999"/>
  </r>
  <r>
    <x v="200"/>
    <x v="130"/>
    <s v="CUST045"/>
    <s v="Douglas Watson"/>
    <s v="P002"/>
    <s v="Smartphone"/>
    <s v="Electronics"/>
    <n v="2"/>
    <n v="699.99"/>
    <s v="Debit Card"/>
    <x v="0"/>
    <s v="Premium"/>
    <d v="2022-04-30T00:00:00"/>
    <n v="1399.98"/>
    <d v="2026-03-03T18:05:23"/>
    <d v="2026-03-03T18:05:23"/>
    <n v="47598.48000000001"/>
    <n v="2.4"/>
    <n v="1679.9759999999999"/>
    <n v="57118.175999999999"/>
    <n v="42838.632000000005"/>
    <n v="52001.33939999999"/>
  </r>
  <r>
    <x v="201"/>
    <x v="131"/>
    <s v="CUST026"/>
    <s v="Karen Hill"/>
    <s v="P002"/>
    <s v="Smartphone"/>
    <s v="Electronics"/>
    <n v="4"/>
    <n v="699.99"/>
    <s v="Debit Card"/>
    <x v="3"/>
    <s v="Premium"/>
    <d v="2022-05-11T00:00:00"/>
    <n v="2799.96"/>
    <d v="2026-03-03T18:05:23"/>
    <d v="2026-03-03T18:05:23"/>
    <n v="46198.500000000007"/>
    <n v="4.8"/>
    <n v="3359.9519999999998"/>
    <n v="55438.2"/>
    <n v="41578.65"/>
    <n v="50471.861249999994"/>
  </r>
  <r>
    <x v="202"/>
    <x v="131"/>
    <s v="CUST029"/>
    <s v="Edward Mitchell"/>
    <s v="P010"/>
    <s v="Keyboard"/>
    <s v="Electronics"/>
    <n v="2"/>
    <n v="89.99"/>
    <s v="Debit Card"/>
    <x v="1"/>
    <s v="Basic"/>
    <d v="2022-08-04T00:00:00"/>
    <n v="179.98"/>
    <d v="2026-03-03T18:05:23"/>
    <d v="2026-03-03T18:05:23"/>
    <n v="43398.540000000008"/>
    <n v="2.4"/>
    <n v="215.97599999999997"/>
    <n v="52078.248"/>
    <n v="39058.686000000009"/>
    <n v="47412.904949999989"/>
  </r>
  <r>
    <x v="203"/>
    <x v="131"/>
    <s v="CUST003"/>
    <s v="Michael Brown"/>
    <s v="P010"/>
    <s v="Keyboard"/>
    <s v="Electronics"/>
    <n v="3"/>
    <n v="89.99"/>
    <s v="Debit Card"/>
    <x v="1"/>
    <s v="Premium"/>
    <d v="2024-01-16T00:00:00"/>
    <n v="269.97000000000003"/>
    <d v="2026-03-03T18:05:23"/>
    <d v="2026-03-03T18:05:23"/>
    <n v="43218.560000000012"/>
    <n v="3.5999999999999996"/>
    <n v="323.96399999999994"/>
    <n v="51862.272000000004"/>
    <n v="38896.704000000005"/>
    <n v="47216.276799999985"/>
  </r>
  <r>
    <x v="204"/>
    <x v="132"/>
    <s v="CUST037"/>
    <s v="Arthur Edwards"/>
    <s v="P005"/>
    <s v="Blender"/>
    <s v="Appliances"/>
    <n v="1"/>
    <n v="59.99"/>
    <s v="Debit Card"/>
    <x v="0"/>
    <s v="Standard"/>
    <d v="2023-04-29T00:00:00"/>
    <n v="59.99"/>
    <d v="2026-03-03T18:05:23"/>
    <d v="2026-03-03T18:05:23"/>
    <n v="42948.590000000011"/>
    <n v="1.2"/>
    <n v="71.988"/>
    <n v="51538.308000000005"/>
    <n v="38653.731000000007"/>
    <n v="46921.334574999986"/>
  </r>
  <r>
    <x v="205"/>
    <x v="133"/>
    <s v="CUST042"/>
    <s v="Ruth Brooks"/>
    <s v="P008"/>
    <s v="Bookshelf"/>
    <s v="Furniture"/>
    <n v="3"/>
    <n v="149.99"/>
    <s v="Debit Card"/>
    <x v="2"/>
    <s v="Premium"/>
    <d v="2022-01-03T00:00:00"/>
    <n v="449.97"/>
    <d v="2026-03-03T18:05:23"/>
    <d v="2026-03-03T18:05:23"/>
    <n v="42888.600000000013"/>
    <n v="3.5999999999999996"/>
    <n v="539.96399999999994"/>
    <n v="51466.320000000007"/>
    <n v="38599.740000000005"/>
    <n v="46855.795499999986"/>
  </r>
  <r>
    <x v="206"/>
    <x v="133"/>
    <s v="CUST048"/>
    <s v="Virginia Sanders"/>
    <s v="P007"/>
    <s v="Desk"/>
    <s v="Furniture"/>
    <n v="5"/>
    <n v="299.99"/>
    <s v="Credit Card"/>
    <x v="1"/>
    <s v="Basic"/>
    <d v="2023-02-02T00:00:00"/>
    <n v="1499.95"/>
    <d v="2026-03-03T18:05:23"/>
    <d v="2026-03-03T18:05:23"/>
    <n v="42438.630000000012"/>
    <n v="6"/>
    <n v="1799.94"/>
    <n v="50926.355999999992"/>
    <n v="38194.767000000007"/>
    <n v="46364.203274999993"/>
  </r>
  <r>
    <x v="207"/>
    <x v="134"/>
    <s v="CUST040"/>
    <s v="Sharon Butler"/>
    <s v="P005"/>
    <s v="Blender"/>
    <s v="Appliances"/>
    <n v="5"/>
    <n v="59.99"/>
    <s v="Debit Card"/>
    <x v="0"/>
    <s v="Standard"/>
    <d v="2023-09-08T00:00:00"/>
    <n v="299.95"/>
    <d v="2026-03-03T18:05:23"/>
    <d v="2026-03-03T18:05:23"/>
    <n v="40938.680000000015"/>
    <n v="6"/>
    <n v="359.94"/>
    <n v="49126.415999999997"/>
    <n v="36844.812000000005"/>
    <n v="44725.507899999997"/>
  </r>
  <r>
    <x v="208"/>
    <x v="135"/>
    <s v="CUST036"/>
    <s v="Nancy Collins"/>
    <s v="P004"/>
    <s v="Coffee Maker"/>
    <s v="Appliances"/>
    <n v="3"/>
    <n v="79.989999999999995"/>
    <s v="Cash"/>
    <x v="4"/>
    <s v="Premium"/>
    <d v="2021-08-28T00:00:00"/>
    <n v="239.97"/>
    <d v="2026-03-03T18:05:23"/>
    <d v="2026-03-03T18:05:23"/>
    <n v="40638.730000000018"/>
    <n v="3.5999999999999996"/>
    <n v="287.96399999999994"/>
    <n v="48766.475999999995"/>
    <n v="36574.857000000004"/>
    <n v="44397.812524999994"/>
  </r>
  <r>
    <x v="209"/>
    <x v="136"/>
    <s v="CUST021"/>
    <s v="Kevin Scott"/>
    <s v="P006"/>
    <s v="Office Chair"/>
    <s v="Furniture"/>
    <n v="3"/>
    <n v="199.99"/>
    <s v="Cash"/>
    <x v="0"/>
    <s v="Basic"/>
    <d v="2022-06-23T00:00:00"/>
    <n v="599.97"/>
    <d v="2026-03-03T18:05:23"/>
    <d v="2026-03-03T18:05:23"/>
    <n v="40398.760000000017"/>
    <n v="3.5999999999999996"/>
    <n v="719.96399999999994"/>
    <n v="48478.511999999995"/>
    <n v="36358.883999999998"/>
    <n v="44135.645299999996"/>
  </r>
  <r>
    <x v="210"/>
    <x v="136"/>
    <s v="CUST023"/>
    <s v="Paul Baker"/>
    <s v="P010"/>
    <s v="Keyboard"/>
    <s v="Electronics"/>
    <n v="2"/>
    <n v="89.99"/>
    <s v="PayPal"/>
    <x v="0"/>
    <s v="Basic"/>
    <d v="2023-11-27T00:00:00"/>
    <n v="179.98"/>
    <d v="2026-03-03T18:05:23"/>
    <d v="2026-03-03T18:05:23"/>
    <n v="39798.790000000015"/>
    <n v="2.4"/>
    <n v="215.97599999999997"/>
    <n v="47758.547999999995"/>
    <n v="35818.911"/>
    <n v="43480.178074999996"/>
  </r>
  <r>
    <x v="211"/>
    <x v="137"/>
    <s v="CUST015"/>
    <s v="Richard Lee"/>
    <s v="P008"/>
    <s v="Bookshelf"/>
    <s v="Furniture"/>
    <n v="2"/>
    <n v="149.99"/>
    <s v="Cash"/>
    <x v="1"/>
    <s v="Premium"/>
    <d v="2022-06-16T00:00:00"/>
    <n v="299.98"/>
    <d v="2026-03-03T18:05:23"/>
    <d v="2026-03-03T18:05:23"/>
    <n v="39618.810000000012"/>
    <n v="2.4"/>
    <n v="359.976"/>
    <n v="47542.572"/>
    <n v="35656.929000000004"/>
    <n v="43283.549924999992"/>
  </r>
  <r>
    <x v="212"/>
    <x v="138"/>
    <s v="CUST029"/>
    <s v="Edward Mitchell"/>
    <s v="P002"/>
    <s v="Smartphone"/>
    <s v="Electronics"/>
    <n v="5"/>
    <n v="699.99"/>
    <s v="PayPal"/>
    <x v="1"/>
    <s v="Premium"/>
    <d v="2024-03-01T00:00:00"/>
    <n v="3499.95"/>
    <d v="2026-03-03T18:05:23"/>
    <d v="2026-03-03T18:05:23"/>
    <n v="39318.830000000009"/>
    <n v="6"/>
    <n v="4199.9400000000005"/>
    <n v="47182.595999999998"/>
    <n v="35386.947"/>
    <n v="42955.821774999997"/>
  </r>
  <r>
    <x v="213"/>
    <x v="138"/>
    <s v="CUST003"/>
    <s v="Michael Brown"/>
    <s v="P008"/>
    <s v="Bookshelf"/>
    <s v="Furniture"/>
    <n v="3"/>
    <n v="149.99"/>
    <s v="PayPal"/>
    <x v="0"/>
    <s v="Standard"/>
    <d v="2022-03-13T00:00:00"/>
    <n v="449.97"/>
    <d v="2026-03-03T18:05:23"/>
    <d v="2026-03-03T18:05:23"/>
    <n v="35818.880000000005"/>
    <n v="3.5999999999999996"/>
    <n v="539.96399999999994"/>
    <n v="42982.656000000003"/>
    <n v="32236.992000000006"/>
    <n v="39132.126400000001"/>
  </r>
  <r>
    <x v="214"/>
    <x v="139"/>
    <s v="CUST018"/>
    <s v="Barbara Young"/>
    <s v="P001"/>
    <s v="Laptop"/>
    <s v="Electronics"/>
    <n v="3"/>
    <n v="899.99"/>
    <s v="Cash"/>
    <x v="4"/>
    <s v="Standard"/>
    <d v="2022-02-21T00:00:00"/>
    <n v="2699.97"/>
    <d v="2026-03-03T18:05:23"/>
    <d v="2026-03-03T18:05:23"/>
    <n v="35368.910000000011"/>
    <n v="3.5999999999999996"/>
    <n v="3239.9639999999995"/>
    <n v="42442.69200000001"/>
    <n v="31832.019000000008"/>
    <n v="38640.534175000001"/>
  </r>
  <r>
    <x v="215"/>
    <x v="139"/>
    <s v="CUST033"/>
    <s v="Frank Torres"/>
    <s v="P006"/>
    <s v="Office Chair"/>
    <s v="Furniture"/>
    <n v="3"/>
    <n v="199.99"/>
    <s v="Cash"/>
    <x v="3"/>
    <s v="Premium"/>
    <d v="2022-09-19T00:00:00"/>
    <n v="599.97"/>
    <d v="2026-03-03T18:05:23"/>
    <d v="2026-03-03T18:05:23"/>
    <n v="32668.94000000001"/>
    <n v="3.5999999999999996"/>
    <n v="719.96399999999994"/>
    <n v="39202.727999999996"/>
    <n v="29402.046000000009"/>
    <n v="35690.81695"/>
  </r>
  <r>
    <x v="216"/>
    <x v="140"/>
    <s v="CUST017"/>
    <s v="Charles Allen"/>
    <s v="P007"/>
    <s v="Desk"/>
    <s v="Furniture"/>
    <n v="5"/>
    <n v="299.99"/>
    <s v="Cash"/>
    <x v="3"/>
    <s v="Standard"/>
    <d v="2023-08-04T00:00:00"/>
    <n v="1499.95"/>
    <d v="2026-03-03T18:05:23"/>
    <d v="2026-03-03T18:05:23"/>
    <n v="32068.970000000008"/>
    <n v="6"/>
    <n v="1799.94"/>
    <n v="38482.763999999996"/>
    <n v="28862.073000000011"/>
    <n v="35035.349725"/>
  </r>
  <r>
    <x v="217"/>
    <x v="140"/>
    <s v="CUST040"/>
    <s v="Sharon Butler"/>
    <s v="P002"/>
    <s v="Smartphone"/>
    <s v="Electronics"/>
    <n v="1"/>
    <n v="699.99"/>
    <s v="PayPal"/>
    <x v="3"/>
    <s v="Basic"/>
    <d v="2023-01-08T00:00:00"/>
    <n v="699.99"/>
    <d v="2026-03-03T18:05:23"/>
    <d v="2026-03-03T18:05:23"/>
    <n v="30569.020000000004"/>
    <n v="1.2"/>
    <n v="839.98799999999994"/>
    <n v="36682.824000000001"/>
    <n v="27512.118000000009"/>
    <n v="33396.654349999997"/>
  </r>
  <r>
    <x v="218"/>
    <x v="141"/>
    <s v="CUST042"/>
    <s v="Ruth Brooks"/>
    <s v="P002"/>
    <s v="Smartphone"/>
    <s v="Electronics"/>
    <n v="1"/>
    <n v="699.99"/>
    <s v="Cash"/>
    <x v="2"/>
    <s v="Premium"/>
    <d v="2022-01-22T00:00:00"/>
    <n v="699.99"/>
    <d v="2026-03-03T18:05:23"/>
    <d v="2026-03-03T18:05:23"/>
    <n v="29869.030000000002"/>
    <n v="1.2"/>
    <n v="839.98799999999994"/>
    <n v="35842.836000000003"/>
    <n v="26882.127000000008"/>
    <n v="32631.915274999999"/>
  </r>
  <r>
    <x v="219"/>
    <x v="141"/>
    <s v="CUST037"/>
    <s v="Arthur Edwards"/>
    <s v="P008"/>
    <s v="Bookshelf"/>
    <s v="Furniture"/>
    <n v="4"/>
    <n v="149.99"/>
    <s v="PayPal"/>
    <x v="2"/>
    <s v="Premium"/>
    <d v="2021-08-04T00:00:00"/>
    <n v="599.96"/>
    <d v="2026-03-03T18:05:23"/>
    <d v="2026-03-03T18:05:23"/>
    <n v="29169.040000000005"/>
    <n v="4.8"/>
    <n v="719.952"/>
    <n v="35002.847999999998"/>
    <n v="26252.136000000013"/>
    <n v="31867.176200000002"/>
  </r>
  <r>
    <x v="220"/>
    <x v="141"/>
    <s v="CUST016"/>
    <s v="Elizabeth Hall"/>
    <s v="P010"/>
    <s v="Keyboard"/>
    <s v="Electronics"/>
    <n v="5"/>
    <n v="89.99"/>
    <s v="PayPal"/>
    <x v="3"/>
    <s v="Premium"/>
    <d v="2023-08-02T00:00:00"/>
    <n v="449.95"/>
    <d v="2026-03-03T18:05:23"/>
    <d v="2026-03-03T18:05:23"/>
    <n v="28569.080000000005"/>
    <n v="6"/>
    <n v="539.93999999999994"/>
    <n v="34282.896000000001"/>
    <n v="25712.172000000013"/>
    <n v="31211.7199"/>
  </r>
  <r>
    <x v="221"/>
    <x v="142"/>
    <s v="CUST031"/>
    <s v="Steven Turner"/>
    <s v="P006"/>
    <s v="Office Chair"/>
    <s v="Furniture"/>
    <n v="2"/>
    <n v="199.99"/>
    <s v="Cash"/>
    <x v="0"/>
    <s v="Premium"/>
    <d v="2022-01-12T00:00:00"/>
    <n v="399.98"/>
    <d v="2026-03-03T18:05:23"/>
    <d v="2026-03-03T18:05:23"/>
    <n v="28119.130000000005"/>
    <n v="2.4"/>
    <n v="479.976"/>
    <n v="33742.956000000006"/>
    <n v="25307.217000000011"/>
    <n v="30720.149525000001"/>
  </r>
  <r>
    <x v="222"/>
    <x v="143"/>
    <s v="CUST015"/>
    <s v="Richard Lee"/>
    <s v="P005"/>
    <s v="Blender"/>
    <s v="Appliances"/>
    <n v="4"/>
    <n v="59.99"/>
    <s v="Cash"/>
    <x v="3"/>
    <s v="Standard"/>
    <d v="2023-05-24T00:00:00"/>
    <n v="239.96"/>
    <d v="2026-03-03T18:05:23"/>
    <d v="2026-03-03T18:05:23"/>
    <n v="27719.150000000005"/>
    <n v="4.8"/>
    <n v="287.952"/>
    <n v="33262.980000000003"/>
    <n v="24947.235000000008"/>
    <n v="30283.171375000002"/>
  </r>
  <r>
    <x v="223"/>
    <x v="143"/>
    <s v="CUST048"/>
    <s v="Virginia Sanders"/>
    <s v="P007"/>
    <s v="Desk"/>
    <s v="Furniture"/>
    <n v="2"/>
    <n v="299.99"/>
    <s v="PayPal"/>
    <x v="1"/>
    <s v="Basic"/>
    <d v="2022-01-15T00:00:00"/>
    <n v="599.98"/>
    <d v="2026-03-03T18:05:23"/>
    <d v="2026-03-03T18:05:23"/>
    <n v="27479.190000000002"/>
    <n v="2.4"/>
    <n v="719.976"/>
    <n v="32975.027999999998"/>
    <n v="24731.271000000008"/>
    <n v="30021.015074999999"/>
  </r>
  <r>
    <x v="224"/>
    <x v="144"/>
    <s v="CUST017"/>
    <s v="Charles Allen"/>
    <s v="P008"/>
    <s v="Bookshelf"/>
    <s v="Furniture"/>
    <n v="2"/>
    <n v="149.99"/>
    <s v="Cash"/>
    <x v="0"/>
    <s v="Basic"/>
    <d v="2023-05-22T00:00:00"/>
    <n v="299.98"/>
    <d v="2026-03-03T18:05:23"/>
    <d v="2026-03-03T18:05:23"/>
    <n v="26879.210000000003"/>
    <n v="2.4"/>
    <n v="359.976"/>
    <n v="32255.051999999996"/>
    <n v="24191.289000000012"/>
    <n v="29365.536925"/>
  </r>
  <r>
    <x v="225"/>
    <x v="145"/>
    <s v="CUST039"/>
    <s v="Lawrence Reed"/>
    <s v="P002"/>
    <s v="Smartphone"/>
    <s v="Electronics"/>
    <n v="5"/>
    <n v="699.99"/>
    <s v="Debit Card"/>
    <x v="4"/>
    <s v="Premium"/>
    <d v="2023-08-23T00:00:00"/>
    <n v="3499.95"/>
    <d v="2026-03-03T18:05:23"/>
    <d v="2026-03-03T18:05:23"/>
    <n v="26579.230000000003"/>
    <n v="6"/>
    <n v="4199.9400000000005"/>
    <n v="31895.075999999997"/>
    <n v="23921.307000000008"/>
    <n v="29037.808775000001"/>
  </r>
  <r>
    <x v="226"/>
    <x v="146"/>
    <s v="CUST043"/>
    <s v="Dennis Gray"/>
    <s v="P005"/>
    <s v="Blender"/>
    <s v="Appliances"/>
    <n v="5"/>
    <n v="59.99"/>
    <s v="Cash"/>
    <x v="3"/>
    <s v="Premium"/>
    <d v="2023-12-31T00:00:00"/>
    <n v="299.95"/>
    <d v="2026-03-03T18:05:23"/>
    <d v="2026-03-03T18:05:23"/>
    <n v="23079.280000000002"/>
    <n v="6"/>
    <n v="359.94"/>
    <n v="27695.135999999999"/>
    <n v="20771.352000000006"/>
    <n v="25214.113399999998"/>
  </r>
  <r>
    <x v="227"/>
    <x v="147"/>
    <s v="CUST023"/>
    <s v="Paul Baker"/>
    <s v="P010"/>
    <s v="Keyboard"/>
    <s v="Electronics"/>
    <n v="2"/>
    <n v="89.99"/>
    <s v="Credit Card"/>
    <x v="3"/>
    <s v="Premium"/>
    <d v="2024-01-04T00:00:00"/>
    <n v="179.98"/>
    <d v="2026-03-03T18:05:23"/>
    <d v="2026-03-03T18:05:23"/>
    <n v="22779.33"/>
    <n v="2.4"/>
    <n v="215.97599999999997"/>
    <n v="27335.196"/>
    <n v="20501.397000000004"/>
    <n v="24886.418024999999"/>
  </r>
  <r>
    <x v="228"/>
    <x v="147"/>
    <s v="CUST030"/>
    <s v="Helen Roberts"/>
    <s v="P009"/>
    <s v="Monitor"/>
    <s v="Electronics"/>
    <n v="5"/>
    <n v="249.99"/>
    <s v="Cash"/>
    <x v="4"/>
    <s v="Standard"/>
    <d v="2021-12-10T00:00:00"/>
    <n v="1249.95"/>
    <d v="2026-03-03T18:05:23"/>
    <d v="2026-03-03T18:05:23"/>
    <n v="22599.350000000002"/>
    <n v="6"/>
    <n v="1499.94"/>
    <n v="27119.219999999998"/>
    <n v="20339.415000000008"/>
    <n v="24689.789874999999"/>
  </r>
  <r>
    <x v="229"/>
    <x v="148"/>
    <s v="CUST039"/>
    <s v="Lawrence Reed"/>
    <s v="P008"/>
    <s v="Bookshelf"/>
    <s v="Furniture"/>
    <n v="2"/>
    <n v="149.99"/>
    <s v="PayPal"/>
    <x v="0"/>
    <s v="Premium"/>
    <d v="2022-03-12T00:00:00"/>
    <n v="299.98"/>
    <d v="2026-03-03T18:05:23"/>
    <d v="2026-03-03T18:05:23"/>
    <n v="21349.4"/>
    <n v="2.4"/>
    <n v="359.976"/>
    <n v="25619.279999999995"/>
    <n v="19214.460000000006"/>
    <n v="23324.219499999999"/>
  </r>
  <r>
    <x v="230"/>
    <x v="148"/>
    <s v="CUST035"/>
    <s v="Harry Morgan"/>
    <s v="P001"/>
    <s v="Laptop"/>
    <s v="Electronics"/>
    <n v="5"/>
    <n v="899.99"/>
    <s v="PayPal"/>
    <x v="4"/>
    <s v="Premium"/>
    <d v="2024-04-07T00:00:00"/>
    <n v="4499.95"/>
    <d v="2026-03-03T18:05:23"/>
    <d v="2026-03-03T18:05:23"/>
    <n v="21049.42"/>
    <n v="6"/>
    <n v="5399.9400000000005"/>
    <n v="25259.303999999996"/>
    <n v="18944.478000000003"/>
    <n v="22996.49135"/>
  </r>
  <r>
    <x v="231"/>
    <x v="148"/>
    <s v="CUST017"/>
    <s v="Charles Allen"/>
    <s v="P008"/>
    <s v="Bookshelf"/>
    <s v="Furniture"/>
    <n v="4"/>
    <n v="149.99"/>
    <s v="Cash"/>
    <x v="0"/>
    <s v="Standard"/>
    <d v="2023-12-03T00:00:00"/>
    <n v="599.96"/>
    <d v="2026-03-03T18:05:23"/>
    <d v="2026-03-03T18:05:23"/>
    <n v="16549.469999999998"/>
    <n v="4.8"/>
    <n v="719.952"/>
    <n v="19859.363999999998"/>
    <n v="14894.522999999999"/>
    <n v="18080.295975000001"/>
  </r>
  <r>
    <x v="232"/>
    <x v="149"/>
    <s v="CUST035"/>
    <s v="Harry Morgan"/>
    <s v="P009"/>
    <s v="Monitor"/>
    <s v="Electronics"/>
    <n v="1"/>
    <n v="249.99"/>
    <s v="Cash"/>
    <x v="2"/>
    <s v="Standard"/>
    <d v="2023-07-10T00:00:00"/>
    <n v="249.99"/>
    <d v="2026-03-03T18:05:23"/>
    <d v="2026-03-03T18:05:23"/>
    <n v="15949.509999999995"/>
    <n v="1.2"/>
    <n v="299.988"/>
    <n v="19139.411999999997"/>
    <n v="14354.558999999999"/>
    <n v="17424.839674999999"/>
  </r>
  <r>
    <x v="233"/>
    <x v="150"/>
    <s v="CUST033"/>
    <s v="Frank Torres"/>
    <s v="P005"/>
    <s v="Blender"/>
    <s v="Appliances"/>
    <n v="2"/>
    <n v="59.99"/>
    <s v="Credit Card"/>
    <x v="3"/>
    <s v="Basic"/>
    <d v="2023-09-24T00:00:00"/>
    <n v="119.98"/>
    <d v="2026-03-03T18:05:23"/>
    <d v="2026-03-03T18:05:23"/>
    <n v="15699.519999999995"/>
    <n v="2.4"/>
    <n v="143.976"/>
    <n v="18839.423999999995"/>
    <n v="14129.567999999999"/>
    <n v="17151.725599999998"/>
  </r>
  <r>
    <x v="234"/>
    <x v="151"/>
    <s v="CUST002"/>
    <s v="Emma Wilson"/>
    <s v="P008"/>
    <s v="Bookshelf"/>
    <s v="Furniture"/>
    <n v="2"/>
    <n v="149.99"/>
    <s v="Cash"/>
    <x v="3"/>
    <s v="Premium"/>
    <d v="2023-11-03T00:00:00"/>
    <n v="299.98"/>
    <d v="2026-03-03T18:05:23"/>
    <d v="2026-03-03T18:05:23"/>
    <n v="15579.539999999995"/>
    <n v="2.4"/>
    <n v="359.976"/>
    <n v="18695.447999999997"/>
    <n v="14021.585999999999"/>
    <n v="17020.64745"/>
  </r>
  <r>
    <x v="235"/>
    <x v="151"/>
    <s v="CUST040"/>
    <s v="Sharon Butler"/>
    <s v="P001"/>
    <s v="Laptop"/>
    <s v="Electronics"/>
    <n v="3"/>
    <n v="899.99"/>
    <s v="Debit Card"/>
    <x v="2"/>
    <s v="Premium"/>
    <d v="2022-11-11T00:00:00"/>
    <n v="2699.97"/>
    <d v="2026-03-03T18:05:23"/>
    <d v="2026-03-03T18:05:23"/>
    <n v="15279.559999999996"/>
    <n v="3.5999999999999996"/>
    <n v="3239.9639999999995"/>
    <n v="18335.471999999998"/>
    <n v="13751.603999999999"/>
    <n v="16692.919299999998"/>
  </r>
  <r>
    <x v="236"/>
    <x v="151"/>
    <s v="CUST024"/>
    <s v="Dorothy Nelson"/>
    <s v="P001"/>
    <s v="Laptop"/>
    <s v="Electronics"/>
    <n v="3"/>
    <n v="899.99"/>
    <s v="PayPal"/>
    <x v="2"/>
    <s v="Basic"/>
    <d v="2023-02-18T00:00:00"/>
    <n v="2699.97"/>
    <d v="2026-03-03T18:05:23"/>
    <d v="2026-03-03T18:05:23"/>
    <n v="12579.589999999997"/>
    <n v="3.5999999999999996"/>
    <n v="3239.9639999999995"/>
    <n v="15095.508"/>
    <n v="11321.630999999999"/>
    <n v="13743.202075000001"/>
  </r>
  <r>
    <x v="237"/>
    <x v="152"/>
    <s v="CUST023"/>
    <s v="Paul Baker"/>
    <s v="P007"/>
    <s v="Desk"/>
    <s v="Furniture"/>
    <n v="3"/>
    <n v="299.99"/>
    <s v="Credit Card"/>
    <x v="3"/>
    <s v="Premium"/>
    <d v="2023-11-04T00:00:00"/>
    <n v="899.97"/>
    <d v="2026-03-03T18:05:23"/>
    <d v="2026-03-03T18:05:23"/>
    <n v="9879.619999999999"/>
    <n v="3.5999999999999996"/>
    <n v="1079.9639999999999"/>
    <n v="11855.544"/>
    <n v="8891.6579999999994"/>
    <n v="10793.484850000001"/>
  </r>
  <r>
    <x v="238"/>
    <x v="153"/>
    <s v="CUST001"/>
    <s v="John Smith"/>
    <s v="P008"/>
    <s v="Bookshelf"/>
    <s v="Furniture"/>
    <n v="4"/>
    <n v="149.99"/>
    <s v="PayPal"/>
    <x v="3"/>
    <s v="Standard"/>
    <d v="2021-12-30T00:00:00"/>
    <n v="599.96"/>
    <d v="2026-03-03T18:05:23"/>
    <d v="2026-03-03T18:05:23"/>
    <n v="8979.65"/>
    <n v="4.8"/>
    <n v="719.952"/>
    <n v="10775.58"/>
    <n v="8081.6849999999995"/>
    <n v="9810.2676250000004"/>
  </r>
  <r>
    <x v="239"/>
    <x v="154"/>
    <s v="CUST044"/>
    <s v="Cynthia Price"/>
    <s v="P004"/>
    <s v="Coffee Maker"/>
    <s v="Appliances"/>
    <n v="4"/>
    <n v="79.989999999999995"/>
    <s v="Credit Card"/>
    <x v="0"/>
    <s v="Basic"/>
    <d v="2023-12-28T00:00:00"/>
    <n v="319.95999999999998"/>
    <d v="2026-03-03T18:05:23"/>
    <d v="2026-03-03T18:05:23"/>
    <n v="8379.6899999999987"/>
    <n v="4.8"/>
    <n v="383.95199999999994"/>
    <n v="10055.627999999999"/>
    <n v="7541.7209999999995"/>
    <n v="9154.8113250000006"/>
  </r>
  <r>
    <x v="240"/>
    <x v="155"/>
    <s v="CUST020"/>
    <s v="Margaret Wright"/>
    <s v="P010"/>
    <s v="Keyboard"/>
    <s v="Electronics"/>
    <n v="5"/>
    <n v="89.99"/>
    <s v="PayPal"/>
    <x v="1"/>
    <s v="Basic"/>
    <d v="2022-05-23T00:00:00"/>
    <n v="449.95"/>
    <d v="2026-03-03T18:05:23"/>
    <d v="2026-03-03T18:05:23"/>
    <n v="8059.7300000000005"/>
    <n v="6"/>
    <n v="539.93999999999994"/>
    <n v="9671.6760000000013"/>
    <n v="7253.7569999999996"/>
    <n v="8805.2550250000004"/>
  </r>
  <r>
    <x v="241"/>
    <x v="156"/>
    <s v="CUST048"/>
    <s v="Virginia Sanders"/>
    <s v="P008"/>
    <s v="Bookshelf"/>
    <s v="Furniture"/>
    <n v="3"/>
    <n v="149.99"/>
    <s v="PayPal"/>
    <x v="0"/>
    <s v="Standard"/>
    <d v="2023-09-02T00:00:00"/>
    <n v="449.97"/>
    <d v="2026-03-03T18:05:23"/>
    <d v="2026-03-03T18:05:23"/>
    <n v="7609.78"/>
    <n v="3.5999999999999996"/>
    <n v="539.96399999999994"/>
    <n v="9131.735999999999"/>
    <n v="6848.8019999999997"/>
    <n v="8313.6846499999992"/>
  </r>
  <r>
    <x v="242"/>
    <x v="156"/>
    <s v="CUST026"/>
    <s v="Karen Hill"/>
    <s v="P010"/>
    <s v="Keyboard"/>
    <s v="Electronics"/>
    <n v="2"/>
    <n v="89.99"/>
    <s v="Debit Card"/>
    <x v="3"/>
    <s v="Premium"/>
    <d v="2021-11-22T00:00:00"/>
    <n v="179.98"/>
    <d v="2026-03-03T18:05:23"/>
    <d v="2026-03-03T18:05:23"/>
    <n v="7159.81"/>
    <n v="2.4"/>
    <n v="215.97599999999997"/>
    <n v="8591.771999999999"/>
    <n v="6443.8289999999997"/>
    <n v="7822.0924249999989"/>
  </r>
  <r>
    <x v="243"/>
    <x v="157"/>
    <s v="CUST044"/>
    <s v="Cynthia Price"/>
    <s v="P002"/>
    <s v="Smartphone"/>
    <s v="Electronics"/>
    <n v="2"/>
    <n v="699.99"/>
    <s v="PayPal"/>
    <x v="2"/>
    <s v="Standard"/>
    <d v="2022-02-26T00:00:00"/>
    <n v="1399.98"/>
    <d v="2026-03-03T18:05:23"/>
    <d v="2026-03-03T18:05:23"/>
    <n v="6979.829999999999"/>
    <n v="2.4"/>
    <n v="1679.9759999999999"/>
    <n v="8375.7959999999985"/>
    <n v="6281.8469999999998"/>
    <n v="7625.4642749999985"/>
  </r>
  <r>
    <x v="244"/>
    <x v="158"/>
    <s v="CUST029"/>
    <s v="Edward Mitchell"/>
    <s v="P001"/>
    <s v="Laptop"/>
    <s v="Electronics"/>
    <n v="3"/>
    <n v="899.99"/>
    <s v="Cash"/>
    <x v="0"/>
    <s v="Standard"/>
    <d v="2023-01-27T00:00:00"/>
    <n v="2699.97"/>
    <d v="2026-03-03T18:05:23"/>
    <d v="2026-03-03T18:05:23"/>
    <n v="5579.8499999999995"/>
    <n v="3.5999999999999996"/>
    <n v="3239.9639999999995"/>
    <n v="6695.8199999999988"/>
    <n v="5021.8649999999998"/>
    <n v="6095.9861249999994"/>
  </r>
  <r>
    <x v="245"/>
    <x v="159"/>
    <s v="CUST048"/>
    <s v="Virginia Sanders"/>
    <s v="P004"/>
    <s v="Coffee Maker"/>
    <s v="Appliances"/>
    <n v="3"/>
    <n v="79.989999999999995"/>
    <s v="Credit Card"/>
    <x v="2"/>
    <s v="Basic"/>
    <d v="2021-11-11T00:00:00"/>
    <n v="239.97"/>
    <d v="2026-03-03T18:05:23"/>
    <d v="2026-03-03T18:05:23"/>
    <n v="2879.88"/>
    <n v="3.5999999999999996"/>
    <n v="287.96399999999994"/>
    <n v="3455.8559999999998"/>
    <n v="2591.8919999999998"/>
    <n v="3146.2688999999996"/>
  </r>
  <r>
    <x v="246"/>
    <x v="160"/>
    <s v="CUST009"/>
    <s v="Robert Thomas"/>
    <s v="P010"/>
    <s v="Keyboard"/>
    <s v="Electronics"/>
    <n v="1"/>
    <n v="89.99"/>
    <s v="Debit Card"/>
    <x v="4"/>
    <s v="Basic"/>
    <d v="2024-02-24T00:00:00"/>
    <n v="89.99"/>
    <d v="2026-03-03T18:05:23"/>
    <d v="2026-03-03T18:05:23"/>
    <n v="2639.91"/>
    <n v="1.2"/>
    <n v="107.98799999999999"/>
    <n v="3167.8919999999998"/>
    <n v="2375.9189999999999"/>
    <n v="2884.1016749999994"/>
  </r>
  <r>
    <x v="247"/>
    <x v="161"/>
    <s v="CUST045"/>
    <s v="Douglas Watson"/>
    <s v="P002"/>
    <s v="Smartphone"/>
    <s v="Electronics"/>
    <n v="3"/>
    <n v="699.99"/>
    <s v="PayPal"/>
    <x v="2"/>
    <s v="Basic"/>
    <d v="2022-12-14T00:00:00"/>
    <n v="2099.9699999999998"/>
    <d v="2026-03-03T18:05:23"/>
    <d v="2026-03-03T18:05:23"/>
    <n v="2549.92"/>
    <n v="3.5999999999999996"/>
    <n v="2519.9639999999999"/>
    <n v="3059.904"/>
    <n v="2294.9279999999999"/>
    <n v="2785.7875999999997"/>
  </r>
  <r>
    <x v="248"/>
    <x v="161"/>
    <s v="CUST039"/>
    <s v="Lawrence Reed"/>
    <s v="P010"/>
    <s v="Keyboard"/>
    <s v="Electronics"/>
    <n v="2"/>
    <n v="89.99"/>
    <s v="Debit Card"/>
    <x v="4"/>
    <s v="Basic"/>
    <d v="2023-06-11T00:00:00"/>
    <n v="179.98"/>
    <d v="2026-03-03T18:05:23"/>
    <d v="2026-03-03T18:05:23"/>
    <n v="449.95000000000005"/>
    <n v="2.4"/>
    <n v="215.97599999999997"/>
    <n v="539.93999999999994"/>
    <n v="404.95500000000004"/>
    <n v="491.5703749999999"/>
  </r>
  <r>
    <x v="249"/>
    <x v="161"/>
    <s v="CUST031"/>
    <s v="Steven Turner"/>
    <s v="P010"/>
    <s v="Keyboard"/>
    <s v="Electronics"/>
    <n v="3"/>
    <n v="89.99"/>
    <s v="Debit Card"/>
    <x v="2"/>
    <s v="Premium"/>
    <d v="2022-11-13T00:00:00"/>
    <n v="269.97000000000003"/>
    <d v="2026-03-03T18:05:23"/>
    <d v="2026-03-03T18:05:23"/>
    <n v="269.97000000000003"/>
    <n v="3.5999999999999996"/>
    <n v="323.96399999999994"/>
    <n v="323.96399999999994"/>
    <n v="242.97300000000001"/>
    <n v="294.9422249999999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x v="0"/>
    <d v="2024-04-11T00:00:00"/>
    <s v="CUST023"/>
    <s v="Paul Baker"/>
    <s v="P009"/>
    <s v="Monitor"/>
    <s v="Electronics"/>
    <n v="3"/>
    <n v="249.99"/>
    <x v="0"/>
    <s v="Central"/>
    <s v="Basic"/>
    <d v="2021-08-17T00:00:00"/>
    <n v="749.97"/>
    <d v="2026-03-03T18:05:35"/>
    <d v="2026-03-03T18:05:35"/>
    <n v="228922.50000000032"/>
    <n v="3.5999999999999996"/>
    <n v="899.96399999999994"/>
    <n v="274707"/>
    <n v="206030.24999999985"/>
    <n v="250097.83125000037"/>
  </r>
  <r>
    <x v="1"/>
    <d v="2024-04-14T00:00:00"/>
    <s v="CUST013"/>
    <s v="Joseph Jackson"/>
    <s v="P009"/>
    <s v="Monitor"/>
    <s v="Electronics"/>
    <n v="3"/>
    <n v="249.99"/>
    <x v="1"/>
    <s v="Central"/>
    <s v="Premium"/>
    <d v="2022-01-14T00:00:00"/>
    <n v="749.97"/>
    <d v="2026-03-03T18:05:35"/>
    <d v="2026-03-03T18:05:35"/>
    <n v="228442.50000000029"/>
    <n v="3.5999999999999996"/>
    <n v="899.96399999999994"/>
    <n v="274131"/>
    <n v="205598.24999999985"/>
    <n v="249573.43125000037"/>
  </r>
  <r>
    <x v="2"/>
    <d v="2024-04-17T00:00:00"/>
    <s v="CUST021"/>
    <s v="Kevin Scott"/>
    <s v="P005"/>
    <s v="Blender"/>
    <s v="Appliances"/>
    <n v="3"/>
    <n v="59.99"/>
    <x v="2"/>
    <s v="South"/>
    <s v="Standard"/>
    <d v="2023-12-02T00:00:00"/>
    <n v="179.97"/>
    <d v="2026-03-03T18:05:35"/>
    <d v="2026-03-03T18:05:35"/>
    <n v="227692.53000000029"/>
    <n v="3.5999999999999996"/>
    <n v="215.964"/>
    <n v="273231.03600000002"/>
    <n v="204923.27699999986"/>
    <n v="248754.08902500034"/>
  </r>
  <r>
    <x v="3"/>
    <d v="2024-04-18T00:00:00"/>
    <s v="CUST046"/>
    <s v="Kathleen Bennett"/>
    <s v="P005"/>
    <s v="Blender"/>
    <s v="Appliances"/>
    <n v="3"/>
    <n v="59.99"/>
    <x v="0"/>
    <s v="North"/>
    <s v="Premium"/>
    <d v="2023-07-07T00:00:00"/>
    <n v="179.97"/>
    <d v="2026-03-03T18:05:35"/>
    <d v="2026-03-03T18:05:35"/>
    <n v="227512.56000000032"/>
    <n v="3.5999999999999996"/>
    <n v="215.964"/>
    <n v="273015.07200000004"/>
    <n v="204761.30399999983"/>
    <n v="248557.47180000035"/>
  </r>
  <r>
    <x v="4"/>
    <d v="2024-04-18T00:00:00"/>
    <s v="CUST003"/>
    <s v="Michael Brown"/>
    <s v="P008"/>
    <s v="Bookshelf"/>
    <s v="Furniture"/>
    <n v="5"/>
    <n v="149.99"/>
    <x v="1"/>
    <s v="North"/>
    <s v="Premium"/>
    <d v="2024-01-04T00:00:00"/>
    <n v="749.95"/>
    <d v="2026-03-03T18:05:35"/>
    <d v="2026-03-03T18:05:35"/>
    <n v="227332.59000000032"/>
    <n v="6"/>
    <n v="899.94"/>
    <n v="272799.10800000007"/>
    <n v="204599.33099999983"/>
    <n v="248360.85457500035"/>
  </r>
  <r>
    <x v="5"/>
    <d v="2024-04-21T00:00:00"/>
    <s v="CUST024"/>
    <s v="Dorothy Nelson"/>
    <s v="P005"/>
    <s v="Blender"/>
    <s v="Appliances"/>
    <n v="2"/>
    <n v="59.99"/>
    <x v="0"/>
    <s v="West"/>
    <s v="Standard"/>
    <d v="2022-07-04T00:00:00"/>
    <n v="119.98"/>
    <d v="2026-03-03T18:05:35"/>
    <d v="2026-03-03T18:05:35"/>
    <n v="226582.64000000031"/>
    <n v="2.4"/>
    <n v="143.976"/>
    <n v="271899.16800000006"/>
    <n v="203924.37599999987"/>
    <n v="247541.53420000034"/>
  </r>
  <r>
    <x v="6"/>
    <d v="2024-04-21T00:00:00"/>
    <s v="CUST024"/>
    <s v="Dorothy Nelson"/>
    <s v="P003"/>
    <s v="Headphones"/>
    <s v="Electronics"/>
    <n v="5"/>
    <n v="149.99"/>
    <x v="1"/>
    <s v="Central"/>
    <s v="Standard"/>
    <d v="2021-08-10T00:00:00"/>
    <n v="749.95"/>
    <d v="2026-03-03T18:05:35"/>
    <d v="2026-03-03T18:05:35"/>
    <n v="226462.66000000032"/>
    <n v="6"/>
    <n v="899.94"/>
    <n v="271755.19199999998"/>
    <n v="203816.39399999988"/>
    <n v="247410.45605000036"/>
  </r>
  <r>
    <x v="7"/>
    <d v="2024-04-21T00:00:00"/>
    <s v="CUST017"/>
    <s v="Charles Allen"/>
    <s v="P005"/>
    <s v="Blender"/>
    <s v="Appliances"/>
    <n v="3"/>
    <n v="59.99"/>
    <x v="3"/>
    <s v="South"/>
    <s v="Basic"/>
    <d v="2023-03-22T00:00:00"/>
    <n v="179.97"/>
    <d v="2026-03-03T18:05:35"/>
    <d v="2026-03-03T18:05:35"/>
    <n v="225712.71000000031"/>
    <n v="3.5999999999999996"/>
    <n v="215.964"/>
    <n v="270855.25200000004"/>
    <n v="203141.43899999987"/>
    <n v="246591.13567500035"/>
  </r>
  <r>
    <x v="8"/>
    <d v="2024-04-23T00:00:00"/>
    <s v="CUST009"/>
    <s v="Robert Thomas"/>
    <s v="P001"/>
    <s v="Laptop"/>
    <s v="Electronics"/>
    <n v="3"/>
    <n v="899.99"/>
    <x v="2"/>
    <s v="East"/>
    <s v="Standard"/>
    <d v="2024-01-08T00:00:00"/>
    <n v="2699.97"/>
    <d v="2026-03-03T18:05:35"/>
    <d v="2026-03-03T18:05:35"/>
    <n v="225532.74000000031"/>
    <n v="3.5999999999999996"/>
    <n v="3239.9639999999995"/>
    <n v="270639.288"/>
    <n v="202979.46599999987"/>
    <n v="246394.51845000035"/>
  </r>
  <r>
    <x v="9"/>
    <d v="2024-04-26T00:00:00"/>
    <s v="CUST026"/>
    <s v="Karen Hill"/>
    <s v="P005"/>
    <s v="Blender"/>
    <s v="Appliances"/>
    <n v="3"/>
    <n v="59.99"/>
    <x v="0"/>
    <s v="West"/>
    <s v="Premium"/>
    <d v="2023-10-08T00:00:00"/>
    <n v="179.97"/>
    <d v="2026-03-03T18:05:35"/>
    <d v="2026-03-03T18:05:35"/>
    <n v="222832.77000000031"/>
    <n v="3.5999999999999996"/>
    <n v="215.964"/>
    <n v="267399.32400000002"/>
    <n v="200549.49299999984"/>
    <n v="243444.80122500032"/>
  </r>
  <r>
    <x v="10"/>
    <d v="2024-04-26T00:00:00"/>
    <s v="CUST022"/>
    <s v="Susan Green"/>
    <s v="P008"/>
    <s v="Bookshelf"/>
    <s v="Furniture"/>
    <n v="1"/>
    <n v="149.99"/>
    <x v="1"/>
    <s v="West"/>
    <s v="Standard"/>
    <d v="2023-06-26T00:00:00"/>
    <n v="149.99"/>
    <d v="2026-03-03T18:05:35"/>
    <d v="2026-03-03T18:05:35"/>
    <n v="222652.80000000031"/>
    <n v="1.2"/>
    <n v="179.988"/>
    <n v="267183.36000000004"/>
    <n v="200387.51999999984"/>
    <n v="243248.18400000033"/>
  </r>
  <r>
    <x v="11"/>
    <d v="2024-04-26T00:00:00"/>
    <s v="CUST046"/>
    <s v="Kathleen Bennett"/>
    <s v="P008"/>
    <s v="Bookshelf"/>
    <s v="Furniture"/>
    <n v="5"/>
    <n v="149.99"/>
    <x v="3"/>
    <s v="North"/>
    <s v="Basic"/>
    <d v="2022-09-26T00:00:00"/>
    <n v="749.95"/>
    <d v="2026-03-03T18:05:35"/>
    <d v="2026-03-03T18:05:35"/>
    <n v="222502.81000000032"/>
    <n v="6"/>
    <n v="899.94"/>
    <n v="267003.37200000003"/>
    <n v="200252.52899999986"/>
    <n v="243084.31992500031"/>
  </r>
  <r>
    <x v="12"/>
    <d v="2024-04-26T00:00:00"/>
    <s v="CUST041"/>
    <s v="Peter Richardson"/>
    <s v="P008"/>
    <s v="Bookshelf"/>
    <s v="Furniture"/>
    <n v="3"/>
    <n v="149.99"/>
    <x v="0"/>
    <s v="North"/>
    <s v="Premium"/>
    <d v="2022-09-02T00:00:00"/>
    <n v="449.97"/>
    <d v="2026-03-03T18:05:35"/>
    <d v="2026-03-03T18:05:35"/>
    <n v="221752.86000000031"/>
    <n v="3.5999999999999996"/>
    <n v="539.96399999999994"/>
    <n v="266103.43200000003"/>
    <n v="199577.57399999988"/>
    <n v="242264.99955000033"/>
  </r>
  <r>
    <x v="13"/>
    <d v="2024-04-27T00:00:00"/>
    <s v="CUST043"/>
    <s v="Dennis Gray"/>
    <s v="P005"/>
    <s v="Blender"/>
    <s v="Appliances"/>
    <n v="3"/>
    <n v="59.99"/>
    <x v="1"/>
    <s v="North"/>
    <s v="Standard"/>
    <d v="2024-02-29T00:00:00"/>
    <n v="179.97"/>
    <d v="2026-03-03T18:05:35"/>
    <d v="2026-03-03T18:05:35"/>
    <n v="221302.89000000031"/>
    <n v="3.5999999999999996"/>
    <n v="215.964"/>
    <n v="265563.46800000005"/>
    <n v="199172.60099999985"/>
    <n v="241773.40732500033"/>
  </r>
  <r>
    <x v="14"/>
    <d v="2024-04-27T00:00:00"/>
    <s v="CUST038"/>
    <s v="Michelle Rogers"/>
    <s v="P002"/>
    <s v="Smartphone"/>
    <s v="Electronics"/>
    <n v="3"/>
    <n v="699.99"/>
    <x v="1"/>
    <s v="West"/>
    <s v="Basic"/>
    <d v="2022-01-16T00:00:00"/>
    <n v="2099.9699999999998"/>
    <d v="2026-03-03T18:05:35"/>
    <d v="2026-03-03T18:05:35"/>
    <n v="221122.9200000003"/>
    <n v="3.5999999999999996"/>
    <n v="2519.9639999999999"/>
    <n v="265347.50400000007"/>
    <n v="199010.62799999985"/>
    <n v="241576.79010000033"/>
  </r>
  <r>
    <x v="15"/>
    <d v="2024-04-27T00:00:00"/>
    <s v="CUST027"/>
    <s v="George Adams"/>
    <s v="P001"/>
    <s v="Laptop"/>
    <s v="Electronics"/>
    <n v="1"/>
    <n v="899.99"/>
    <x v="3"/>
    <s v="North"/>
    <s v="Standard"/>
    <d v="2022-12-25T00:00:00"/>
    <n v="899.99"/>
    <d v="2026-03-03T18:05:35"/>
    <d v="2026-03-03T18:05:35"/>
    <n v="219022.95000000027"/>
    <n v="1.2"/>
    <n v="1079.9880000000001"/>
    <n v="262827.54000000004"/>
    <n v="197120.65499999988"/>
    <n v="239282.5728750003"/>
  </r>
  <r>
    <x v="16"/>
    <d v="2024-04-28T00:00:00"/>
    <s v="CUST025"/>
    <s v="Mark Carter"/>
    <s v="P008"/>
    <s v="Bookshelf"/>
    <s v="Furniture"/>
    <n v="4"/>
    <n v="149.99"/>
    <x v="3"/>
    <s v="North"/>
    <s v="Premium"/>
    <d v="2024-03-23T00:00:00"/>
    <n v="599.96"/>
    <d v="2026-03-03T18:05:35"/>
    <d v="2026-03-03T18:05:35"/>
    <n v="218122.96000000028"/>
    <n v="4.8"/>
    <n v="719.952"/>
    <n v="261747.55200000005"/>
    <n v="196310.6639999999"/>
    <n v="238299.33380000028"/>
  </r>
  <r>
    <x v="17"/>
    <d v="2024-04-28T00:00:00"/>
    <s v="CUST010"/>
    <s v="Maria Garcia"/>
    <s v="P002"/>
    <s v="Smartphone"/>
    <s v="Electronics"/>
    <n v="2"/>
    <n v="699.99"/>
    <x v="0"/>
    <s v="North"/>
    <s v="Basic"/>
    <d v="2022-08-08T00:00:00"/>
    <n v="1399.98"/>
    <d v="2026-03-03T18:05:35"/>
    <d v="2026-03-03T18:05:35"/>
    <n v="217523.00000000029"/>
    <n v="2.4"/>
    <n v="1679.9759999999999"/>
    <n v="261027.60000000006"/>
    <n v="195770.6999999999"/>
    <n v="237643.87750000026"/>
  </r>
  <r>
    <x v="18"/>
    <d v="2024-04-28T00:00:00"/>
    <s v="CUST025"/>
    <s v="Mark Carter"/>
    <s v="P001"/>
    <s v="Laptop"/>
    <s v="Electronics"/>
    <n v="4"/>
    <n v="899.99"/>
    <x v="1"/>
    <s v="West"/>
    <s v="Standard"/>
    <d v="2024-02-05T00:00:00"/>
    <n v="3599.96"/>
    <d v="2026-03-03T18:05:35"/>
    <d v="2026-03-03T18:05:35"/>
    <n v="216123.02000000028"/>
    <n v="4.8"/>
    <n v="4319.9520000000002"/>
    <n v="259347.62400000007"/>
    <n v="194510.71799999991"/>
    <n v="236114.39935000025"/>
  </r>
  <r>
    <x v="19"/>
    <d v="2024-04-28T00:00:00"/>
    <s v="CUST048"/>
    <s v="Virginia Sanders"/>
    <s v="P009"/>
    <s v="Monitor"/>
    <s v="Electronics"/>
    <n v="3"/>
    <n v="249.99"/>
    <x v="1"/>
    <s v="North"/>
    <s v="Premium"/>
    <d v="2023-10-25T00:00:00"/>
    <n v="749.97"/>
    <d v="2026-03-03T18:05:35"/>
    <d v="2026-03-03T18:05:35"/>
    <n v="212523.06000000029"/>
    <n v="3.5999999999999996"/>
    <n v="899.96399999999994"/>
    <n v="255027.67200000008"/>
    <n v="191270.75399999993"/>
    <n v="232181.44305000026"/>
  </r>
  <r>
    <x v="20"/>
    <d v="2024-04-30T00:00:00"/>
    <s v="CUST018"/>
    <s v="Barbara Young"/>
    <s v="P002"/>
    <s v="Smartphone"/>
    <s v="Electronics"/>
    <n v="5"/>
    <n v="699.99"/>
    <x v="0"/>
    <s v="West"/>
    <s v="Basic"/>
    <d v="2023-08-29T00:00:00"/>
    <n v="3499.95"/>
    <d v="2026-03-03T18:05:35"/>
    <d v="2026-03-03T18:05:35"/>
    <n v="211773.09000000029"/>
    <n v="6"/>
    <n v="4199.9400000000005"/>
    <n v="254127.7080000001"/>
    <n v="190595.7809999999"/>
    <n v="231362.10082500023"/>
  </r>
  <r>
    <x v="21"/>
    <d v="2024-05-01T00:00:00"/>
    <s v="CUST012"/>
    <s v="Patricia Moore"/>
    <s v="P002"/>
    <s v="Smartphone"/>
    <s v="Electronics"/>
    <n v="4"/>
    <n v="699.99"/>
    <x v="0"/>
    <s v="East"/>
    <s v="Standard"/>
    <d v="2021-08-01T00:00:00"/>
    <n v="2799.96"/>
    <d v="2026-03-03T18:05:35"/>
    <d v="2026-03-03T18:05:35"/>
    <n v="208273.14000000028"/>
    <n v="4.8"/>
    <n v="3359.9519999999998"/>
    <n v="249927.76800000007"/>
    <n v="187445.82599999991"/>
    <n v="227538.40545000019"/>
  </r>
  <r>
    <x v="22"/>
    <d v="2024-05-03T00:00:00"/>
    <s v="CUST044"/>
    <s v="Cynthia Price"/>
    <s v="P009"/>
    <s v="Monitor"/>
    <s v="Electronics"/>
    <n v="4"/>
    <n v="249.99"/>
    <x v="2"/>
    <s v="North"/>
    <s v="Standard"/>
    <d v="2021-09-29T00:00:00"/>
    <n v="999.96"/>
    <d v="2026-03-03T18:05:35"/>
    <d v="2026-03-03T18:05:35"/>
    <n v="205473.18000000028"/>
    <n v="4.8"/>
    <n v="1199.952"/>
    <n v="246567.81600000011"/>
    <n v="184925.86199999994"/>
    <n v="224479.4491500002"/>
  </r>
  <r>
    <x v="23"/>
    <d v="2024-05-04T00:00:00"/>
    <s v="CUST025"/>
    <s v="Mark Carter"/>
    <s v="P007"/>
    <s v="Desk"/>
    <s v="Furniture"/>
    <n v="4"/>
    <n v="299.99"/>
    <x v="0"/>
    <s v="West"/>
    <s v="Premium"/>
    <d v="2022-06-04T00:00:00"/>
    <n v="1199.96"/>
    <d v="2026-03-03T18:05:35"/>
    <d v="2026-03-03T18:05:35"/>
    <n v="204473.22000000026"/>
    <n v="4.8"/>
    <n v="1439.952"/>
    <n v="245367.86400000006"/>
    <n v="184025.8979999999"/>
    <n v="223386.99285000021"/>
  </r>
  <r>
    <x v="24"/>
    <d v="2024-05-10T00:00:00"/>
    <s v="CUST036"/>
    <s v="Nancy Collins"/>
    <s v="P009"/>
    <s v="Monitor"/>
    <s v="Electronics"/>
    <n v="5"/>
    <n v="249.99"/>
    <x v="1"/>
    <s v="West"/>
    <s v="Standard"/>
    <d v="2021-11-25T00:00:00"/>
    <n v="1249.95"/>
    <d v="2026-03-03T18:05:35"/>
    <d v="2026-03-03T18:05:35"/>
    <n v="203273.26000000024"/>
    <n v="6"/>
    <n v="1499.94"/>
    <n v="243927.91200000007"/>
    <n v="182945.93399999989"/>
    <n v="222076.03655000022"/>
  </r>
  <r>
    <x v="25"/>
    <d v="2024-05-12T00:00:00"/>
    <s v="CUST022"/>
    <s v="Susan Green"/>
    <s v="P007"/>
    <s v="Desk"/>
    <s v="Furniture"/>
    <n v="5"/>
    <n v="299.99"/>
    <x v="2"/>
    <s v="East"/>
    <s v="Basic"/>
    <d v="2023-08-30T00:00:00"/>
    <n v="1499.95"/>
    <d v="2026-03-03T18:05:35"/>
    <d v="2026-03-03T18:05:35"/>
    <n v="202023.31000000023"/>
    <n v="6"/>
    <n v="1799.94"/>
    <n v="242427.97200000007"/>
    <n v="181820.9789999999"/>
    <n v="220710.46617500024"/>
  </r>
  <r>
    <x v="26"/>
    <d v="2024-05-12T00:00:00"/>
    <s v="CUST014"/>
    <s v="Linda Martin"/>
    <s v="P004"/>
    <s v="Coffee Maker"/>
    <s v="Appliances"/>
    <n v="3"/>
    <n v="79.989999999999995"/>
    <x v="2"/>
    <s v="East"/>
    <s v="Premium"/>
    <d v="2023-03-27T00:00:00"/>
    <n v="239.97"/>
    <d v="2026-03-03T18:05:35"/>
    <d v="2026-03-03T18:05:35"/>
    <n v="200523.36000000022"/>
    <n v="3.5999999999999996"/>
    <n v="287.96399999999994"/>
    <n v="240628.03200000006"/>
    <n v="180471.02399999992"/>
    <n v="219071.7708000002"/>
  </r>
  <r>
    <x v="27"/>
    <d v="2024-05-12T00:00:00"/>
    <s v="CUST012"/>
    <s v="Patricia Moore"/>
    <s v="P010"/>
    <s v="Keyboard"/>
    <s v="Electronics"/>
    <n v="5"/>
    <n v="89.99"/>
    <x v="0"/>
    <s v="North"/>
    <s v="Premium"/>
    <d v="2022-12-24T00:00:00"/>
    <n v="449.95"/>
    <d v="2026-03-03T18:05:35"/>
    <d v="2026-03-03T18:05:35"/>
    <n v="200283.39000000022"/>
    <n v="6"/>
    <n v="539.93999999999994"/>
    <n v="240340.06800000009"/>
    <n v="180255.05099999992"/>
    <n v="218809.60357500022"/>
  </r>
  <r>
    <x v="28"/>
    <d v="2024-05-13T00:00:00"/>
    <s v="CUST030"/>
    <s v="Helen Roberts"/>
    <s v="P005"/>
    <s v="Blender"/>
    <s v="Appliances"/>
    <n v="2"/>
    <n v="59.99"/>
    <x v="3"/>
    <s v="Central"/>
    <s v="Standard"/>
    <d v="2023-10-15T00:00:00"/>
    <n v="119.98"/>
    <d v="2026-03-03T18:05:35"/>
    <d v="2026-03-03T18:05:35"/>
    <n v="199833.44000000024"/>
    <n v="2.4"/>
    <n v="143.976"/>
    <n v="239800.12800000008"/>
    <n v="179850.0959999999"/>
    <n v="218318.03320000021"/>
  </r>
  <r>
    <x v="29"/>
    <d v="2024-05-15T00:00:00"/>
    <s v="CUST029"/>
    <s v="Edward Mitchell"/>
    <s v="P005"/>
    <s v="Blender"/>
    <s v="Appliances"/>
    <n v="4"/>
    <n v="59.99"/>
    <x v="3"/>
    <s v="East"/>
    <s v="Standard"/>
    <d v="2022-11-02T00:00:00"/>
    <n v="239.96"/>
    <d v="2026-03-03T18:05:35"/>
    <d v="2026-03-03T18:05:35"/>
    <n v="199713.46000000022"/>
    <n v="4.8"/>
    <n v="287.952"/>
    <n v="239656.15200000009"/>
    <n v="179742.11399999994"/>
    <n v="218186.95505000022"/>
  </r>
  <r>
    <x v="30"/>
    <d v="2024-05-15T00:00:00"/>
    <s v="CUST017"/>
    <s v="Charles Allen"/>
    <s v="P006"/>
    <s v="Office Chair"/>
    <s v="Furniture"/>
    <n v="5"/>
    <n v="199.99"/>
    <x v="0"/>
    <s v="South"/>
    <s v="Standard"/>
    <d v="2021-08-04T00:00:00"/>
    <n v="999.95"/>
    <d v="2026-03-03T18:05:35"/>
    <d v="2026-03-03T18:05:35"/>
    <n v="199473.50000000023"/>
    <n v="6"/>
    <n v="1199.94"/>
    <n v="239368.20000000007"/>
    <n v="179526.14999999994"/>
    <n v="217924.79875000019"/>
  </r>
  <r>
    <x v="31"/>
    <d v="2024-05-16T00:00:00"/>
    <s v="CUST006"/>
    <s v="Lisa Anderson"/>
    <s v="P008"/>
    <s v="Bookshelf"/>
    <s v="Furniture"/>
    <n v="2"/>
    <n v="149.99"/>
    <x v="1"/>
    <s v="West"/>
    <s v="Basic"/>
    <d v="2022-09-19T00:00:00"/>
    <n v="299.98"/>
    <d v="2026-03-03T18:05:35"/>
    <d v="2026-03-03T18:05:35"/>
    <n v="198473.55000000025"/>
    <n v="2.4"/>
    <n v="359.976"/>
    <n v="238168.2600000001"/>
    <n v="178626.19499999995"/>
    <n v="216832.35337500021"/>
  </r>
  <r>
    <x v="32"/>
    <d v="2024-05-18T00:00:00"/>
    <s v="CUST002"/>
    <s v="Emma Wilson"/>
    <s v="P008"/>
    <s v="Bookshelf"/>
    <s v="Furniture"/>
    <n v="3"/>
    <n v="149.99"/>
    <x v="1"/>
    <s v="West"/>
    <s v="Premium"/>
    <d v="2023-05-22T00:00:00"/>
    <n v="449.97"/>
    <d v="2026-03-03T18:05:35"/>
    <d v="2026-03-03T18:05:35"/>
    <n v="198173.57000000024"/>
    <n v="3.5999999999999996"/>
    <n v="539.96399999999994"/>
    <n v="237808.28400000007"/>
    <n v="178356.21299999993"/>
    <n v="216504.6252250002"/>
  </r>
  <r>
    <x v="33"/>
    <d v="2024-05-20T00:00:00"/>
    <s v="CUST021"/>
    <s v="Kevin Scott"/>
    <s v="P001"/>
    <s v="Laptop"/>
    <s v="Electronics"/>
    <n v="1"/>
    <n v="899.99"/>
    <x v="1"/>
    <s v="West"/>
    <s v="Premium"/>
    <d v="2022-01-17T00:00:00"/>
    <n v="899.99"/>
    <d v="2026-03-03T18:05:35"/>
    <d v="2026-03-03T18:05:35"/>
    <n v="197723.60000000024"/>
    <n v="1.2"/>
    <n v="1079.9880000000001"/>
    <n v="237268.32000000009"/>
    <n v="177951.23999999993"/>
    <n v="216013.0330000002"/>
  </r>
  <r>
    <x v="34"/>
    <d v="2024-05-22T00:00:00"/>
    <s v="CUST012"/>
    <s v="Patricia Moore"/>
    <s v="P007"/>
    <s v="Desk"/>
    <s v="Furniture"/>
    <n v="3"/>
    <n v="299.99"/>
    <x v="1"/>
    <s v="East"/>
    <s v="Basic"/>
    <d v="2022-09-20T00:00:00"/>
    <n v="899.97"/>
    <d v="2026-03-03T18:05:35"/>
    <d v="2026-03-03T18:05:35"/>
    <n v="196823.61000000022"/>
    <n v="3.5999999999999996"/>
    <n v="1079.9639999999999"/>
    <n v="236188.33200000008"/>
    <n v="177141.24899999995"/>
    <n v="215029.79392500021"/>
  </r>
  <r>
    <x v="35"/>
    <d v="2024-05-23T00:00:00"/>
    <s v="CUST006"/>
    <s v="Lisa Anderson"/>
    <s v="P004"/>
    <s v="Coffee Maker"/>
    <s v="Appliances"/>
    <n v="3"/>
    <n v="79.989999999999995"/>
    <x v="0"/>
    <s v="South"/>
    <s v="Basic"/>
    <d v="2023-04-30T00:00:00"/>
    <n v="239.97"/>
    <d v="2026-03-03T18:05:35"/>
    <d v="2026-03-03T18:05:35"/>
    <n v="195923.64000000022"/>
    <n v="3.5999999999999996"/>
    <n v="287.96399999999994"/>
    <n v="235108.36800000007"/>
    <n v="176331.27599999993"/>
    <n v="214046.57670000021"/>
  </r>
  <r>
    <x v="36"/>
    <d v="2024-05-26T00:00:00"/>
    <s v="CUST031"/>
    <s v="Steven Turner"/>
    <s v="P006"/>
    <s v="Office Chair"/>
    <s v="Furniture"/>
    <n v="3"/>
    <n v="199.99"/>
    <x v="1"/>
    <s v="North"/>
    <s v="Premium"/>
    <d v="2024-01-01T00:00:00"/>
    <n v="599.97"/>
    <d v="2026-03-03T18:05:35"/>
    <d v="2026-03-03T18:05:35"/>
    <n v="195683.67000000022"/>
    <n v="3.5999999999999996"/>
    <n v="719.96399999999994"/>
    <n v="234820.40400000007"/>
    <n v="176115.30299999993"/>
    <n v="213784.4094750002"/>
  </r>
  <r>
    <x v="37"/>
    <d v="2024-05-28T00:00:00"/>
    <s v="CUST008"/>
    <s v="Jennifer Taylor"/>
    <s v="P002"/>
    <s v="Smartphone"/>
    <s v="Electronics"/>
    <n v="5"/>
    <n v="699.99"/>
    <x v="2"/>
    <s v="West"/>
    <s v="Standard"/>
    <d v="2021-07-30T00:00:00"/>
    <n v="3499.95"/>
    <d v="2026-03-03T18:05:35"/>
    <d v="2026-03-03T18:05:35"/>
    <n v="195083.70000000022"/>
    <n v="6"/>
    <n v="4199.9400000000005"/>
    <n v="234100.44000000009"/>
    <n v="175575.32999999993"/>
    <n v="213128.94225000023"/>
  </r>
  <r>
    <x v="38"/>
    <d v="2024-05-29T00:00:00"/>
    <s v="CUST035"/>
    <s v="Harry Morgan"/>
    <s v="P010"/>
    <s v="Keyboard"/>
    <s v="Electronics"/>
    <n v="3"/>
    <n v="89.99"/>
    <x v="2"/>
    <s v="Central"/>
    <s v="Premium"/>
    <d v="2023-07-13T00:00:00"/>
    <n v="269.97000000000003"/>
    <d v="2026-03-03T18:05:35"/>
    <d v="2026-03-03T18:05:35"/>
    <n v="191583.75000000017"/>
    <n v="3.5999999999999996"/>
    <n v="323.96399999999994"/>
    <n v="229900.50000000012"/>
    <n v="172425.37499999991"/>
    <n v="209305.24687500016"/>
  </r>
  <r>
    <x v="39"/>
    <d v="2024-05-31T00:00:00"/>
    <s v="CUST019"/>
    <s v="Daniel King"/>
    <s v="P004"/>
    <s v="Coffee Maker"/>
    <s v="Appliances"/>
    <n v="1"/>
    <n v="79.989999999999995"/>
    <x v="0"/>
    <s v="North"/>
    <s v="Standard"/>
    <d v="2022-12-22T00:00:00"/>
    <n v="79.989999999999995"/>
    <d v="2026-03-03T18:05:35"/>
    <d v="2026-03-03T18:05:35"/>
    <n v="191313.78000000017"/>
    <n v="1.2"/>
    <n v="95.987999999999985"/>
    <n v="229576.53600000014"/>
    <n v="172182.40199999991"/>
    <n v="209010.30465000015"/>
  </r>
  <r>
    <x v="40"/>
    <d v="2024-06-01T00:00:00"/>
    <s v="CUST040"/>
    <s v="Sharon Butler"/>
    <s v="P005"/>
    <s v="Blender"/>
    <s v="Appliances"/>
    <n v="2"/>
    <n v="59.99"/>
    <x v="0"/>
    <s v="West"/>
    <s v="Basic"/>
    <d v="2024-04-08T00:00:00"/>
    <n v="119.98"/>
    <d v="2026-03-03T18:05:35"/>
    <d v="2026-03-03T18:05:35"/>
    <n v="191233.79000000018"/>
    <n v="2.4"/>
    <n v="143.976"/>
    <n v="229480.54800000013"/>
    <n v="172110.41099999993"/>
    <n v="208922.91557500014"/>
  </r>
  <r>
    <x v="41"/>
    <d v="2024-06-01T00:00:00"/>
    <s v="CUST017"/>
    <s v="Charles Allen"/>
    <s v="P010"/>
    <s v="Keyboard"/>
    <s v="Electronics"/>
    <n v="1"/>
    <n v="89.99"/>
    <x v="0"/>
    <s v="North"/>
    <s v="Basic"/>
    <d v="2023-08-03T00:00:00"/>
    <n v="89.99"/>
    <d v="2026-03-03T18:05:35"/>
    <d v="2026-03-03T18:05:35"/>
    <n v="191113.81000000017"/>
    <n v="1.2"/>
    <n v="107.98799999999999"/>
    <n v="229336.57200000013"/>
    <n v="172002.42899999992"/>
    <n v="208791.83742500015"/>
  </r>
  <r>
    <x v="42"/>
    <d v="2024-06-03T00:00:00"/>
    <s v="CUST004"/>
    <s v="Sarah Davis"/>
    <s v="P010"/>
    <s v="Keyboard"/>
    <s v="Electronics"/>
    <n v="5"/>
    <n v="89.99"/>
    <x v="1"/>
    <s v="East"/>
    <s v="Standard"/>
    <d v="2022-01-26T00:00:00"/>
    <n v="449.95"/>
    <d v="2026-03-03T18:05:35"/>
    <d v="2026-03-03T18:05:35"/>
    <n v="191023.82000000018"/>
    <n v="6"/>
    <n v="539.93999999999994"/>
    <n v="229228.58400000012"/>
    <n v="171921.43799999994"/>
    <n v="208693.52335000015"/>
  </r>
  <r>
    <x v="43"/>
    <d v="2024-06-06T00:00:00"/>
    <s v="CUST013"/>
    <s v="Joseph Jackson"/>
    <s v="P009"/>
    <s v="Monitor"/>
    <s v="Electronics"/>
    <n v="5"/>
    <n v="249.99"/>
    <x v="1"/>
    <s v="East"/>
    <s v="Standard"/>
    <d v="2022-05-26T00:00:00"/>
    <n v="1249.95"/>
    <d v="2026-03-03T18:05:35"/>
    <d v="2026-03-03T18:05:35"/>
    <n v="190573.8700000002"/>
    <n v="6"/>
    <n v="1499.94"/>
    <n v="228688.64400000012"/>
    <n v="171516.48299999992"/>
    <n v="208201.95297500014"/>
  </r>
  <r>
    <x v="44"/>
    <d v="2024-06-06T00:00:00"/>
    <s v="CUST028"/>
    <s v="Betty Campbell"/>
    <s v="P010"/>
    <s v="Keyboard"/>
    <s v="Electronics"/>
    <n v="1"/>
    <n v="89.99"/>
    <x v="1"/>
    <s v="South"/>
    <s v="Standard"/>
    <d v="2022-01-21T00:00:00"/>
    <n v="89.99"/>
    <d v="2026-03-03T18:05:35"/>
    <d v="2026-03-03T18:05:35"/>
    <n v="189323.92000000022"/>
    <n v="1.2"/>
    <n v="107.98799999999999"/>
    <n v="227188.70400000011"/>
    <n v="170391.5279999999"/>
    <n v="206836.38260000013"/>
  </r>
  <r>
    <x v="45"/>
    <d v="2024-06-07T00:00:00"/>
    <s v="CUST003"/>
    <s v="Michael Brown"/>
    <s v="P008"/>
    <s v="Bookshelf"/>
    <s v="Furniture"/>
    <n v="2"/>
    <n v="149.99"/>
    <x v="0"/>
    <s v="East"/>
    <s v="Premium"/>
    <d v="2022-03-25T00:00:00"/>
    <n v="299.98"/>
    <d v="2026-03-03T18:05:35"/>
    <d v="2026-03-03T18:05:35"/>
    <n v="189233.93000000023"/>
    <n v="2.4"/>
    <n v="359.976"/>
    <n v="227080.7160000001"/>
    <n v="170310.53699999989"/>
    <n v="206738.06852500013"/>
  </r>
  <r>
    <x v="46"/>
    <d v="2024-06-09T00:00:00"/>
    <s v="CUST050"/>
    <s v="Julie Foster"/>
    <s v="P005"/>
    <s v="Blender"/>
    <s v="Appliances"/>
    <n v="4"/>
    <n v="59.99"/>
    <x v="0"/>
    <s v="East"/>
    <s v="Standard"/>
    <d v="2021-08-27T00:00:00"/>
    <n v="239.96"/>
    <d v="2026-03-03T18:05:35"/>
    <d v="2026-03-03T18:05:35"/>
    <n v="188933.95000000022"/>
    <n v="4.8"/>
    <n v="287.952"/>
    <n v="226720.74000000011"/>
    <n v="170040.55499999991"/>
    <n v="206410.34037500015"/>
  </r>
  <r>
    <x v="47"/>
    <d v="2024-06-13T00:00:00"/>
    <s v="CUST006"/>
    <s v="Lisa Anderson"/>
    <s v="P010"/>
    <s v="Keyboard"/>
    <s v="Electronics"/>
    <n v="5"/>
    <n v="89.99"/>
    <x v="0"/>
    <s v="Central"/>
    <s v="Premium"/>
    <d v="2022-01-18T00:00:00"/>
    <n v="449.95"/>
    <d v="2026-03-03T18:05:35"/>
    <d v="2026-03-03T18:05:35"/>
    <n v="188693.99000000022"/>
    <n v="6"/>
    <n v="539.93999999999994"/>
    <n v="226432.78800000012"/>
    <n v="169824.59099999993"/>
    <n v="206148.18407500014"/>
  </r>
  <r>
    <x v="48"/>
    <d v="2024-06-16T00:00:00"/>
    <s v="CUST012"/>
    <s v="Patricia Moore"/>
    <s v="P010"/>
    <s v="Keyboard"/>
    <s v="Electronics"/>
    <n v="2"/>
    <n v="89.99"/>
    <x v="1"/>
    <s v="South"/>
    <s v="Premium"/>
    <d v="2021-10-02T00:00:00"/>
    <n v="179.98"/>
    <d v="2026-03-03T18:05:35"/>
    <d v="2026-03-03T18:05:35"/>
    <n v="188244.04000000021"/>
    <n v="2.4"/>
    <n v="215.97599999999997"/>
    <n v="225892.84800000011"/>
    <n v="169419.63599999991"/>
    <n v="205656.61370000013"/>
  </r>
  <r>
    <x v="49"/>
    <d v="2024-06-16T00:00:00"/>
    <s v="CUST023"/>
    <s v="Paul Baker"/>
    <s v="P001"/>
    <s v="Laptop"/>
    <s v="Electronics"/>
    <n v="5"/>
    <n v="899.99"/>
    <x v="1"/>
    <s v="South"/>
    <s v="Standard"/>
    <d v="2023-02-17T00:00:00"/>
    <n v="4499.95"/>
    <d v="2026-03-03T18:05:35"/>
    <d v="2026-03-03T18:05:35"/>
    <n v="188064.0600000002"/>
    <n v="6"/>
    <n v="5399.9400000000005"/>
    <n v="225676.87200000012"/>
    <n v="169257.65399999989"/>
    <n v="205459.98555000016"/>
  </r>
  <r>
    <x v="50"/>
    <d v="2024-06-16T00:00:00"/>
    <s v="CUST029"/>
    <s v="Edward Mitchell"/>
    <s v="P001"/>
    <s v="Laptop"/>
    <s v="Electronics"/>
    <n v="5"/>
    <n v="899.99"/>
    <x v="2"/>
    <s v="East"/>
    <s v="Premium"/>
    <d v="2023-12-18T00:00:00"/>
    <n v="4499.95"/>
    <d v="2026-03-03T18:05:35"/>
    <d v="2026-03-03T18:05:35"/>
    <n v="183564.11000000022"/>
    <n v="6"/>
    <n v="5399.9400000000005"/>
    <n v="220276.93200000006"/>
    <n v="165207.69899999996"/>
    <n v="200543.79017500015"/>
  </r>
  <r>
    <x v="51"/>
    <d v="2024-06-17T00:00:00"/>
    <s v="CUST028"/>
    <s v="Betty Campbell"/>
    <s v="P005"/>
    <s v="Blender"/>
    <s v="Appliances"/>
    <n v="1"/>
    <n v="59.99"/>
    <x v="3"/>
    <s v="West"/>
    <s v="Premium"/>
    <d v="2023-09-21T00:00:00"/>
    <n v="59.99"/>
    <d v="2026-03-03T18:05:35"/>
    <d v="2026-03-03T18:05:35"/>
    <n v="179064.16000000024"/>
    <n v="1.2"/>
    <n v="71.988"/>
    <n v="214876.99200000009"/>
    <n v="161157.74399999998"/>
    <n v="195627.59480000011"/>
  </r>
  <r>
    <x v="52"/>
    <d v="2024-06-17T00:00:00"/>
    <s v="CUST008"/>
    <s v="Jennifer Taylor"/>
    <s v="P007"/>
    <s v="Desk"/>
    <s v="Furniture"/>
    <n v="2"/>
    <n v="299.99"/>
    <x v="3"/>
    <s v="East"/>
    <s v="Standard"/>
    <d v="2023-11-23T00:00:00"/>
    <n v="599.98"/>
    <d v="2026-03-03T18:05:35"/>
    <d v="2026-03-03T18:05:35"/>
    <n v="179004.17000000022"/>
    <n v="2.4"/>
    <n v="719.976"/>
    <n v="214805.00400000007"/>
    <n v="161103.75299999997"/>
    <n v="195562.0557250001"/>
  </r>
  <r>
    <x v="53"/>
    <d v="2024-06-25T00:00:00"/>
    <s v="CUST049"/>
    <s v="Raymond Ross"/>
    <s v="P010"/>
    <s v="Keyboard"/>
    <s v="Electronics"/>
    <n v="4"/>
    <n v="89.99"/>
    <x v="3"/>
    <s v="South"/>
    <s v="Basic"/>
    <d v="2023-12-21T00:00:00"/>
    <n v="359.96"/>
    <d v="2026-03-03T18:05:35"/>
    <d v="2026-03-03T18:05:35"/>
    <n v="178404.19000000024"/>
    <n v="4.8"/>
    <n v="431.95199999999994"/>
    <n v="214085.02800000008"/>
    <n v="160563.77099999998"/>
    <n v="194906.57757500012"/>
  </r>
  <r>
    <x v="54"/>
    <d v="2024-06-26T00:00:00"/>
    <s v="CUST021"/>
    <s v="Kevin Scott"/>
    <s v="P004"/>
    <s v="Coffee Maker"/>
    <s v="Appliances"/>
    <n v="1"/>
    <n v="79.989999999999995"/>
    <x v="2"/>
    <s v="Central"/>
    <s v="Premium"/>
    <d v="2024-03-01T00:00:00"/>
    <n v="79.989999999999995"/>
    <d v="2026-03-03T18:05:35"/>
    <d v="2026-03-03T18:05:35"/>
    <n v="178044.23000000021"/>
    <n v="1.2"/>
    <n v="95.987999999999985"/>
    <n v="213653.07600000009"/>
    <n v="160239.80699999997"/>
    <n v="194513.32127500011"/>
  </r>
  <r>
    <x v="55"/>
    <d v="2024-06-26T00:00:00"/>
    <s v="CUST009"/>
    <s v="Robert Thomas"/>
    <s v="P010"/>
    <s v="Keyboard"/>
    <s v="Electronics"/>
    <n v="2"/>
    <n v="89.99"/>
    <x v="0"/>
    <s v="West"/>
    <s v="Basic"/>
    <d v="2021-08-30T00:00:00"/>
    <n v="179.98"/>
    <d v="2026-03-03T18:05:35"/>
    <d v="2026-03-03T18:05:35"/>
    <n v="177964.24000000022"/>
    <n v="2.4"/>
    <n v="215.97599999999997"/>
    <n v="213557.08800000008"/>
    <n v="160167.81599999999"/>
    <n v="194425.93220000013"/>
  </r>
  <r>
    <x v="56"/>
    <d v="2024-06-28T00:00:00"/>
    <s v="CUST046"/>
    <s v="Kathleen Bennett"/>
    <s v="P002"/>
    <s v="Smartphone"/>
    <s v="Electronics"/>
    <n v="3"/>
    <n v="699.99"/>
    <x v="1"/>
    <s v="East"/>
    <s v="Premium"/>
    <d v="2023-06-25T00:00:00"/>
    <n v="2099.9699999999998"/>
    <d v="2026-03-03T18:05:35"/>
    <d v="2026-03-03T18:05:35"/>
    <n v="177784.26000000021"/>
    <n v="3.5999999999999996"/>
    <n v="2519.9639999999999"/>
    <n v="213341.11200000005"/>
    <n v="160005.83399999997"/>
    <n v="194229.30405000012"/>
  </r>
  <r>
    <x v="57"/>
    <d v="2024-06-28T00:00:00"/>
    <s v="CUST012"/>
    <s v="Patricia Moore"/>
    <s v="P001"/>
    <s v="Laptop"/>
    <s v="Electronics"/>
    <n v="4"/>
    <n v="899.99"/>
    <x v="1"/>
    <s v="East"/>
    <s v="Premium"/>
    <d v="2023-03-08T00:00:00"/>
    <n v="3599.96"/>
    <d v="2026-03-03T18:05:35"/>
    <d v="2026-03-03T18:05:35"/>
    <n v="175684.29000000021"/>
    <n v="4.8"/>
    <n v="4319.9520000000002"/>
    <n v="210821.14800000004"/>
    <n v="158115.86099999998"/>
    <n v="191935.08682500012"/>
  </r>
  <r>
    <x v="58"/>
    <d v="2024-06-29T00:00:00"/>
    <s v="CUST030"/>
    <s v="Helen Roberts"/>
    <s v="P008"/>
    <s v="Bookshelf"/>
    <s v="Furniture"/>
    <n v="1"/>
    <n v="149.99"/>
    <x v="2"/>
    <s v="East"/>
    <s v="Basic"/>
    <d v="2022-10-17T00:00:00"/>
    <n v="149.99"/>
    <d v="2026-03-03T18:05:35"/>
    <d v="2026-03-03T18:05:35"/>
    <n v="172084.33000000025"/>
    <n v="1.2"/>
    <n v="179.988"/>
    <n v="206501.19600000005"/>
    <n v="154875.89700000003"/>
    <n v="188002.1305250001"/>
  </r>
  <r>
    <x v="59"/>
    <d v="2024-07-01T00:00:00"/>
    <s v="CUST002"/>
    <s v="Emma Wilson"/>
    <s v="P010"/>
    <s v="Keyboard"/>
    <s v="Electronics"/>
    <n v="2"/>
    <n v="89.99"/>
    <x v="2"/>
    <s v="Central"/>
    <s v="Premium"/>
    <d v="2023-12-15T00:00:00"/>
    <n v="179.98"/>
    <d v="2026-03-03T18:05:35"/>
    <d v="2026-03-03T18:05:35"/>
    <n v="171934.34000000023"/>
    <n v="2.4"/>
    <n v="215.97599999999997"/>
    <n v="206321.20800000007"/>
    <n v="154740.90600000002"/>
    <n v="187838.26645000011"/>
  </r>
  <r>
    <x v="60"/>
    <d v="2024-07-02T00:00:00"/>
    <s v="CUST017"/>
    <s v="Charles Allen"/>
    <s v="P010"/>
    <s v="Keyboard"/>
    <s v="Electronics"/>
    <n v="1"/>
    <n v="89.99"/>
    <x v="2"/>
    <s v="West"/>
    <s v="Standard"/>
    <d v="2022-08-29T00:00:00"/>
    <n v="89.99"/>
    <d v="2026-03-03T18:05:35"/>
    <d v="2026-03-03T18:05:35"/>
    <n v="171754.36000000022"/>
    <n v="1.2"/>
    <n v="107.98799999999999"/>
    <n v="206105.23200000005"/>
    <n v="154578.92400000003"/>
    <n v="187641.63830000011"/>
  </r>
  <r>
    <x v="61"/>
    <d v="2024-07-03T00:00:00"/>
    <s v="CUST022"/>
    <s v="Susan Green"/>
    <s v="P010"/>
    <s v="Keyboard"/>
    <s v="Electronics"/>
    <n v="1"/>
    <n v="89.99"/>
    <x v="0"/>
    <s v="South"/>
    <s v="Standard"/>
    <d v="2022-02-19T00:00:00"/>
    <n v="89.99"/>
    <d v="2026-03-03T18:05:35"/>
    <d v="2026-03-03T18:05:35"/>
    <n v="171664.37000000023"/>
    <n v="1.2"/>
    <n v="107.98799999999999"/>
    <n v="205997.24400000006"/>
    <n v="154497.93300000002"/>
    <n v="187543.32422500013"/>
  </r>
  <r>
    <x v="62"/>
    <d v="2024-07-03T00:00:00"/>
    <s v="CUST007"/>
    <s v="David Martinez"/>
    <s v="P004"/>
    <s v="Coffee Maker"/>
    <s v="Appliances"/>
    <n v="5"/>
    <n v="79.989999999999995"/>
    <x v="3"/>
    <s v="Central"/>
    <s v="Basic"/>
    <d v="2023-02-24T00:00:00"/>
    <n v="399.95"/>
    <d v="2026-03-03T18:05:35"/>
    <d v="2026-03-03T18:05:35"/>
    <n v="171574.38000000021"/>
    <n v="6"/>
    <n v="479.93999999999994"/>
    <n v="205889.25600000005"/>
    <n v="154416.94200000001"/>
    <n v="187445.01015000013"/>
  </r>
  <r>
    <x v="63"/>
    <d v="2024-07-08T00:00:00"/>
    <s v="CUST020"/>
    <s v="Margaret Wright"/>
    <s v="P008"/>
    <s v="Bookshelf"/>
    <s v="Furniture"/>
    <n v="1"/>
    <n v="149.99"/>
    <x v="2"/>
    <s v="North"/>
    <s v="Basic"/>
    <d v="2021-08-13T00:00:00"/>
    <n v="149.99"/>
    <d v="2026-03-03T18:05:35"/>
    <d v="2026-03-03T18:05:35"/>
    <n v="171174.43000000023"/>
    <n v="1.2"/>
    <n v="179.988"/>
    <n v="205409.31600000005"/>
    <n v="154056.98700000002"/>
    <n v="187008.06477500012"/>
  </r>
  <r>
    <x v="64"/>
    <d v="2024-07-08T00:00:00"/>
    <s v="CUST003"/>
    <s v="Michael Brown"/>
    <s v="P002"/>
    <s v="Smartphone"/>
    <s v="Electronics"/>
    <n v="2"/>
    <n v="699.99"/>
    <x v="2"/>
    <s v="East"/>
    <s v="Premium"/>
    <d v="2024-04-07T00:00:00"/>
    <n v="1399.98"/>
    <d v="2026-03-03T18:05:35"/>
    <d v="2026-03-03T18:05:35"/>
    <n v="171024.44000000021"/>
    <n v="2.4"/>
    <n v="1679.9759999999999"/>
    <n v="205229.32800000007"/>
    <n v="153921.99600000001"/>
    <n v="186844.20070000013"/>
  </r>
  <r>
    <x v="65"/>
    <d v="2024-07-08T00:00:00"/>
    <s v="CUST018"/>
    <s v="Barbara Young"/>
    <s v="P010"/>
    <s v="Keyboard"/>
    <s v="Electronics"/>
    <n v="5"/>
    <n v="89.99"/>
    <x v="3"/>
    <s v="North"/>
    <s v="Premium"/>
    <d v="2023-08-23T00:00:00"/>
    <n v="449.95"/>
    <d v="2026-03-03T18:05:35"/>
    <d v="2026-03-03T18:05:35"/>
    <n v="169624.4600000002"/>
    <n v="6"/>
    <n v="539.93999999999994"/>
    <n v="203549.35200000007"/>
    <n v="152662.014"/>
    <n v="185314.72255000012"/>
  </r>
  <r>
    <x v="66"/>
    <d v="2024-07-09T00:00:00"/>
    <s v="CUST049"/>
    <s v="Raymond Ross"/>
    <s v="P005"/>
    <s v="Blender"/>
    <s v="Appliances"/>
    <n v="4"/>
    <n v="59.99"/>
    <x v="0"/>
    <s v="South"/>
    <s v="Standard"/>
    <d v="2021-11-09T00:00:00"/>
    <n v="239.96"/>
    <d v="2026-03-03T18:05:35"/>
    <d v="2026-03-03T18:05:35"/>
    <n v="169174.51000000018"/>
    <n v="4.8"/>
    <n v="287.952"/>
    <n v="203009.41200000007"/>
    <n v="152257.05900000001"/>
    <n v="184823.15217500011"/>
  </r>
  <r>
    <x v="67"/>
    <d v="2024-07-11T00:00:00"/>
    <s v="CUST013"/>
    <s v="Joseph Jackson"/>
    <s v="P003"/>
    <s v="Headphones"/>
    <s v="Electronics"/>
    <n v="1"/>
    <n v="149.99"/>
    <x v="0"/>
    <s v="Central"/>
    <s v="Standard"/>
    <d v="2022-12-14T00:00:00"/>
    <n v="149.99"/>
    <d v="2026-03-03T18:05:35"/>
    <d v="2026-03-03T18:05:35"/>
    <n v="168934.55000000019"/>
    <n v="1.2"/>
    <n v="179.988"/>
    <n v="202721.46000000005"/>
    <n v="152041.095"/>
    <n v="184560.99587500011"/>
  </r>
  <r>
    <x v="68"/>
    <d v="2024-07-11T00:00:00"/>
    <s v="CUST033"/>
    <s v="Frank Torres"/>
    <s v="P007"/>
    <s v="Desk"/>
    <s v="Furniture"/>
    <n v="1"/>
    <n v="299.99"/>
    <x v="1"/>
    <s v="North"/>
    <s v="Premium"/>
    <d v="2022-11-26T00:00:00"/>
    <n v="299.99"/>
    <d v="2026-03-03T18:05:35"/>
    <d v="2026-03-03T18:05:35"/>
    <n v="168784.56000000017"/>
    <n v="1.2"/>
    <n v="359.988"/>
    <n v="202541.47200000007"/>
    <n v="151906.10400000002"/>
    <n v="184397.13180000012"/>
  </r>
  <r>
    <x v="69"/>
    <d v="2024-07-14T00:00:00"/>
    <s v="CUST033"/>
    <s v="Frank Torres"/>
    <s v="P006"/>
    <s v="Office Chair"/>
    <s v="Furniture"/>
    <n v="2"/>
    <n v="199.99"/>
    <x v="0"/>
    <s v="North"/>
    <s v="Basic"/>
    <d v="2021-12-11T00:00:00"/>
    <n v="399.98"/>
    <d v="2026-03-03T18:05:35"/>
    <d v="2026-03-03T18:05:35"/>
    <n v="168484.57000000018"/>
    <n v="2.4"/>
    <n v="479.976"/>
    <n v="202181.48400000005"/>
    <n v="151636.11300000004"/>
    <n v="184069.39272500013"/>
  </r>
  <r>
    <x v="70"/>
    <d v="2024-07-17T00:00:00"/>
    <s v="CUST047"/>
    <s v="Gerald Murphy"/>
    <s v="P005"/>
    <s v="Blender"/>
    <s v="Appliances"/>
    <n v="3"/>
    <n v="59.99"/>
    <x v="1"/>
    <s v="West"/>
    <s v="Basic"/>
    <d v="2023-07-23T00:00:00"/>
    <n v="179.97"/>
    <d v="2026-03-03T18:05:35"/>
    <d v="2026-03-03T18:05:35"/>
    <n v="168084.59000000017"/>
    <n v="3.5999999999999996"/>
    <n v="215.964"/>
    <n v="201701.50800000003"/>
    <n v="151276.13100000005"/>
    <n v="183632.41457500012"/>
  </r>
  <r>
    <x v="71"/>
    <d v="2024-07-17T00:00:00"/>
    <s v="CUST041"/>
    <s v="Peter Richardson"/>
    <s v="P008"/>
    <s v="Bookshelf"/>
    <s v="Furniture"/>
    <n v="3"/>
    <n v="149.99"/>
    <x v="0"/>
    <s v="Central"/>
    <s v="Premium"/>
    <d v="2023-09-30T00:00:00"/>
    <n v="449.97"/>
    <d v="2026-03-03T18:05:35"/>
    <d v="2026-03-03T18:05:35"/>
    <n v="167904.62000000017"/>
    <n v="3.5999999999999996"/>
    <n v="539.96399999999994"/>
    <n v="201485.54400000002"/>
    <n v="151114.15800000005"/>
    <n v="183435.79735000012"/>
  </r>
  <r>
    <x v="72"/>
    <d v="2024-07-18T00:00:00"/>
    <s v="CUST026"/>
    <s v="Karen Hill"/>
    <s v="P006"/>
    <s v="Office Chair"/>
    <s v="Furniture"/>
    <n v="3"/>
    <n v="199.99"/>
    <x v="0"/>
    <s v="North"/>
    <s v="Premium"/>
    <d v="2023-11-24T00:00:00"/>
    <n v="599.97"/>
    <d v="2026-03-03T18:05:35"/>
    <d v="2026-03-03T18:05:35"/>
    <n v="167454.6500000002"/>
    <n v="3.5999999999999996"/>
    <n v="719.96399999999994"/>
    <n v="200945.58000000002"/>
    <n v="150709.18500000006"/>
    <n v="182944.20512500012"/>
  </r>
  <r>
    <x v="73"/>
    <d v="2024-07-23T00:00:00"/>
    <s v="CUST040"/>
    <s v="Sharon Butler"/>
    <s v="P001"/>
    <s v="Laptop"/>
    <s v="Electronics"/>
    <n v="1"/>
    <n v="899.99"/>
    <x v="0"/>
    <s v="Central"/>
    <s v="Standard"/>
    <d v="2023-09-10T00:00:00"/>
    <n v="899.99"/>
    <d v="2026-03-03T18:05:35"/>
    <d v="2026-03-03T18:05:35"/>
    <n v="166854.68000000017"/>
    <n v="1.2"/>
    <n v="1079.9880000000001"/>
    <n v="200225.61600000001"/>
    <n v="150169.21200000006"/>
    <n v="182288.73790000012"/>
  </r>
  <r>
    <x v="74"/>
    <d v="2024-07-24T00:00:00"/>
    <s v="CUST013"/>
    <s v="Joseph Jackson"/>
    <s v="P001"/>
    <s v="Laptop"/>
    <s v="Electronics"/>
    <n v="5"/>
    <n v="899.99"/>
    <x v="3"/>
    <s v="South"/>
    <s v="Standard"/>
    <d v="2022-12-04T00:00:00"/>
    <n v="4499.95"/>
    <d v="2026-03-03T18:05:35"/>
    <d v="2026-03-03T18:05:35"/>
    <n v="165954.69000000018"/>
    <n v="6"/>
    <n v="5399.9400000000005"/>
    <n v="199145.62800000003"/>
    <n v="149359.22100000008"/>
    <n v="181305.49882500013"/>
  </r>
  <r>
    <x v="75"/>
    <d v="2024-07-25T00:00:00"/>
    <s v="CUST007"/>
    <s v="David Martinez"/>
    <s v="P005"/>
    <s v="Blender"/>
    <s v="Appliances"/>
    <n v="2"/>
    <n v="59.99"/>
    <x v="0"/>
    <s v="North"/>
    <s v="Standard"/>
    <d v="2023-08-14T00:00:00"/>
    <n v="119.98"/>
    <d v="2026-03-03T18:05:35"/>
    <d v="2026-03-03T18:05:35"/>
    <n v="161454.74000000017"/>
    <n v="2.4"/>
    <n v="143.976"/>
    <n v="193745.68800000008"/>
    <n v="145309.26600000009"/>
    <n v="176389.30345000012"/>
  </r>
  <r>
    <x v="76"/>
    <d v="2024-07-25T00:00:00"/>
    <s v="CUST047"/>
    <s v="Gerald Murphy"/>
    <s v="P009"/>
    <s v="Monitor"/>
    <s v="Electronics"/>
    <n v="4"/>
    <n v="249.99"/>
    <x v="3"/>
    <s v="Central"/>
    <s v="Standard"/>
    <d v="2023-07-20T00:00:00"/>
    <n v="999.96"/>
    <d v="2026-03-03T18:05:35"/>
    <d v="2026-03-03T18:05:35"/>
    <n v="161334.76000000018"/>
    <n v="4.8"/>
    <n v="1199.952"/>
    <n v="193601.71200000006"/>
    <n v="145201.2840000001"/>
    <n v="176258.22530000014"/>
  </r>
  <r>
    <x v="77"/>
    <d v="2024-07-27T00:00:00"/>
    <s v="CUST018"/>
    <s v="Barbara Young"/>
    <s v="P009"/>
    <s v="Monitor"/>
    <s v="Electronics"/>
    <n v="2"/>
    <n v="249.99"/>
    <x v="0"/>
    <s v="North"/>
    <s v="Premium"/>
    <d v="2023-08-26T00:00:00"/>
    <n v="499.98"/>
    <d v="2026-03-03T18:05:35"/>
    <d v="2026-03-03T18:05:35"/>
    <n v="160334.80000000016"/>
    <n v="2.4"/>
    <n v="599.976"/>
    <n v="192401.76000000007"/>
    <n v="144301.32000000012"/>
    <n v="175165.76900000009"/>
  </r>
  <r>
    <x v="78"/>
    <d v="2024-07-27T00:00:00"/>
    <s v="CUST019"/>
    <s v="Daniel King"/>
    <s v="P007"/>
    <s v="Desk"/>
    <s v="Furniture"/>
    <n v="1"/>
    <n v="299.99"/>
    <x v="0"/>
    <s v="South"/>
    <s v="Basic"/>
    <d v="2023-02-25T00:00:00"/>
    <n v="299.99"/>
    <d v="2026-03-03T18:05:35"/>
    <d v="2026-03-03T18:05:35"/>
    <n v="159834.82000000018"/>
    <n v="1.2"/>
    <n v="359.988"/>
    <n v="191801.78400000007"/>
    <n v="143851.33800000011"/>
    <n v="174619.54085000008"/>
  </r>
  <r>
    <x v="79"/>
    <d v="2024-07-28T00:00:00"/>
    <s v="CUST025"/>
    <s v="Mark Carter"/>
    <s v="P010"/>
    <s v="Keyboard"/>
    <s v="Electronics"/>
    <n v="2"/>
    <n v="89.99"/>
    <x v="2"/>
    <s v="South"/>
    <s v="Basic"/>
    <d v="2023-02-19T00:00:00"/>
    <n v="179.98"/>
    <d v="2026-03-03T18:05:35"/>
    <d v="2026-03-03T18:05:35"/>
    <n v="159534.83000000019"/>
    <n v="2.4"/>
    <n v="215.97599999999997"/>
    <n v="191441.79600000006"/>
    <n v="143581.34700000013"/>
    <n v="174291.80177500009"/>
  </r>
  <r>
    <x v="80"/>
    <d v="2024-07-28T00:00:00"/>
    <s v="CUST019"/>
    <s v="Daniel King"/>
    <s v="P007"/>
    <s v="Desk"/>
    <s v="Furniture"/>
    <n v="3"/>
    <n v="299.99"/>
    <x v="0"/>
    <s v="Central"/>
    <s v="Basic"/>
    <d v="2022-06-20T00:00:00"/>
    <n v="899.97"/>
    <d v="2026-03-03T18:05:35"/>
    <d v="2026-03-03T18:05:35"/>
    <n v="159354.85000000018"/>
    <n v="3.5999999999999996"/>
    <n v="1079.9639999999999"/>
    <n v="191225.82000000007"/>
    <n v="143419.36500000011"/>
    <n v="174095.17362500008"/>
  </r>
  <r>
    <x v="81"/>
    <d v="2024-07-30T00:00:00"/>
    <s v="CUST025"/>
    <s v="Mark Carter"/>
    <s v="P002"/>
    <s v="Smartphone"/>
    <s v="Electronics"/>
    <n v="2"/>
    <n v="699.99"/>
    <x v="1"/>
    <s v="North"/>
    <s v="Premium"/>
    <d v="2023-03-14T00:00:00"/>
    <n v="1399.98"/>
    <d v="2026-03-03T18:05:35"/>
    <d v="2026-03-03T18:05:35"/>
    <n v="158454.88000000018"/>
    <n v="2.4"/>
    <n v="1679.9759999999999"/>
    <n v="190145.85600000006"/>
    <n v="142609.39200000011"/>
    <n v="173111.95640000008"/>
  </r>
  <r>
    <x v="82"/>
    <d v="2024-07-31T00:00:00"/>
    <s v="CUST030"/>
    <s v="Helen Roberts"/>
    <s v="P001"/>
    <s v="Laptop"/>
    <s v="Electronics"/>
    <n v="4"/>
    <n v="899.99"/>
    <x v="3"/>
    <s v="South"/>
    <s v="Standard"/>
    <d v="2021-11-23T00:00:00"/>
    <n v="3599.96"/>
    <d v="2026-03-03T18:05:35"/>
    <d v="2026-03-03T18:05:35"/>
    <n v="157054.90000000014"/>
    <n v="4.8"/>
    <n v="4319.9520000000002"/>
    <n v="188465.88000000006"/>
    <n v="141349.41000000009"/>
    <n v="171582.4782500001"/>
  </r>
  <r>
    <x v="83"/>
    <d v="2024-08-05T00:00:00"/>
    <s v="CUST016"/>
    <s v="Elizabeth Hall"/>
    <s v="P008"/>
    <s v="Bookshelf"/>
    <s v="Furniture"/>
    <n v="2"/>
    <n v="149.99"/>
    <x v="1"/>
    <s v="West"/>
    <s v="Basic"/>
    <d v="2021-12-12T00:00:00"/>
    <n v="299.98"/>
    <d v="2026-03-03T18:05:35"/>
    <d v="2026-03-03T18:05:35"/>
    <n v="153454.94000000009"/>
    <n v="2.4"/>
    <n v="359.976"/>
    <n v="184145.92800000007"/>
    <n v="138109.44600000008"/>
    <n v="167649.52195000008"/>
  </r>
  <r>
    <x v="84"/>
    <d v="2024-08-06T00:00:00"/>
    <s v="CUST044"/>
    <s v="Cynthia Price"/>
    <s v="P008"/>
    <s v="Bookshelf"/>
    <s v="Furniture"/>
    <n v="2"/>
    <n v="149.99"/>
    <x v="3"/>
    <s v="East"/>
    <s v="Standard"/>
    <d v="2022-04-16T00:00:00"/>
    <n v="299.98"/>
    <d v="2026-03-03T18:05:35"/>
    <d v="2026-03-03T18:05:35"/>
    <n v="153154.96000000011"/>
    <n v="2.4"/>
    <n v="359.976"/>
    <n v="183785.95200000008"/>
    <n v="137839.46400000007"/>
    <n v="167321.79380000007"/>
  </r>
  <r>
    <x v="85"/>
    <d v="2024-08-09T00:00:00"/>
    <s v="CUST010"/>
    <s v="Maria Garcia"/>
    <s v="P010"/>
    <s v="Keyboard"/>
    <s v="Electronics"/>
    <n v="1"/>
    <n v="89.99"/>
    <x v="1"/>
    <s v="North"/>
    <s v="Standard"/>
    <d v="2024-04-11T00:00:00"/>
    <n v="89.99"/>
    <d v="2026-03-03T18:05:35"/>
    <d v="2026-03-03T18:05:35"/>
    <n v="152854.9800000001"/>
    <n v="1.2"/>
    <n v="107.98799999999999"/>
    <n v="183425.97600000008"/>
    <n v="137569.48200000008"/>
    <n v="166994.06565000009"/>
  </r>
  <r>
    <x v="86"/>
    <d v="2024-08-11T00:00:00"/>
    <s v="CUST025"/>
    <s v="Mark Carter"/>
    <s v="P007"/>
    <s v="Desk"/>
    <s v="Furniture"/>
    <n v="5"/>
    <n v="299.99"/>
    <x v="1"/>
    <s v="North"/>
    <s v="Basic"/>
    <d v="2023-02-08T00:00:00"/>
    <n v="1499.95"/>
    <d v="2026-03-03T18:05:35"/>
    <d v="2026-03-03T18:05:35"/>
    <n v="152764.99000000011"/>
    <n v="6"/>
    <n v="1799.94"/>
    <n v="183317.98800000007"/>
    <n v="137488.49100000007"/>
    <n v="166895.75157500009"/>
  </r>
  <r>
    <x v="87"/>
    <d v="2024-08-13T00:00:00"/>
    <s v="CUST007"/>
    <s v="David Martinez"/>
    <s v="P003"/>
    <s v="Headphones"/>
    <s v="Electronics"/>
    <n v="4"/>
    <n v="149.99"/>
    <x v="3"/>
    <s v="South"/>
    <s v="Premium"/>
    <d v="2022-09-16T00:00:00"/>
    <n v="599.96"/>
    <d v="2026-03-03T18:05:35"/>
    <d v="2026-03-03T18:05:35"/>
    <n v="151265.04000000007"/>
    <n v="4.8"/>
    <n v="719.952"/>
    <n v="181518.04800000004"/>
    <n v="136138.53600000011"/>
    <n v="165257.05620000008"/>
  </r>
  <r>
    <x v="88"/>
    <d v="2024-08-13T00:00:00"/>
    <s v="CUST020"/>
    <s v="Margaret Wright"/>
    <s v="P009"/>
    <s v="Monitor"/>
    <s v="Electronics"/>
    <n v="5"/>
    <n v="249.99"/>
    <x v="2"/>
    <s v="East"/>
    <s v="Premium"/>
    <d v="2022-08-09T00:00:00"/>
    <n v="1249.95"/>
    <d v="2026-03-03T18:05:35"/>
    <d v="2026-03-03T18:05:35"/>
    <n v="150665.08000000005"/>
    <n v="6"/>
    <n v="1499.94"/>
    <n v="180798.09600000005"/>
    <n v="135598.57200000013"/>
    <n v="164601.59990000009"/>
  </r>
  <r>
    <x v="89"/>
    <d v="2024-08-13T00:00:00"/>
    <s v="CUST026"/>
    <s v="Karen Hill"/>
    <s v="P009"/>
    <s v="Monitor"/>
    <s v="Electronics"/>
    <n v="3"/>
    <n v="249.99"/>
    <x v="2"/>
    <s v="North"/>
    <s v="Premium"/>
    <d v="2021-09-26T00:00:00"/>
    <n v="749.97"/>
    <d v="2026-03-03T18:05:35"/>
    <d v="2026-03-03T18:05:35"/>
    <n v="149415.13000000006"/>
    <n v="3.5999999999999996"/>
    <n v="899.96399999999994"/>
    <n v="179298.15600000005"/>
    <n v="134473.61700000011"/>
    <n v="163236.02952500011"/>
  </r>
  <r>
    <x v="90"/>
    <d v="2024-08-13T00:00:00"/>
    <s v="CUST046"/>
    <s v="Kathleen Bennett"/>
    <s v="P006"/>
    <s v="Office Chair"/>
    <s v="Furniture"/>
    <n v="4"/>
    <n v="199.99"/>
    <x v="0"/>
    <s v="North"/>
    <s v="Standard"/>
    <d v="2021-09-19T00:00:00"/>
    <n v="799.96"/>
    <d v="2026-03-03T18:05:35"/>
    <d v="2026-03-03T18:05:35"/>
    <n v="148665.16000000006"/>
    <n v="4.8"/>
    <n v="959.952"/>
    <n v="178398.19200000004"/>
    <n v="133798.64400000012"/>
    <n v="162416.68730000014"/>
  </r>
  <r>
    <x v="91"/>
    <d v="2024-08-15T00:00:00"/>
    <s v="CUST028"/>
    <s v="Betty Campbell"/>
    <s v="P006"/>
    <s v="Office Chair"/>
    <s v="Furniture"/>
    <n v="5"/>
    <n v="199.99"/>
    <x v="0"/>
    <s v="North"/>
    <s v="Premium"/>
    <d v="2023-03-06T00:00:00"/>
    <n v="999.95"/>
    <d v="2026-03-03T18:05:35"/>
    <d v="2026-03-03T18:05:35"/>
    <n v="147865.20000000004"/>
    <n v="6"/>
    <n v="1199.94"/>
    <n v="177438.24000000002"/>
    <n v="133078.68000000011"/>
    <n v="161542.73100000012"/>
  </r>
  <r>
    <x v="92"/>
    <d v="2024-08-18T00:00:00"/>
    <s v="CUST025"/>
    <s v="Mark Carter"/>
    <s v="P010"/>
    <s v="Keyboard"/>
    <s v="Electronics"/>
    <n v="2"/>
    <n v="89.99"/>
    <x v="0"/>
    <s v="East"/>
    <s v="Premium"/>
    <d v="2023-02-15T00:00:00"/>
    <n v="179.98"/>
    <d v="2026-03-03T18:05:35"/>
    <d v="2026-03-03T18:05:35"/>
    <n v="146865.25000000006"/>
    <n v="2.4"/>
    <n v="215.97599999999997"/>
    <n v="176238.30000000002"/>
    <n v="132178.72500000012"/>
    <n v="160450.28562500011"/>
  </r>
  <r>
    <x v="93"/>
    <d v="2024-08-19T00:00:00"/>
    <s v="CUST047"/>
    <s v="Gerald Murphy"/>
    <s v="P001"/>
    <s v="Laptop"/>
    <s v="Electronics"/>
    <n v="5"/>
    <n v="899.99"/>
    <x v="3"/>
    <s v="East"/>
    <s v="Basic"/>
    <d v="2021-11-26T00:00:00"/>
    <n v="4499.95"/>
    <d v="2026-03-03T18:05:35"/>
    <d v="2026-03-03T18:05:35"/>
    <n v="146685.27000000008"/>
    <n v="6"/>
    <n v="5399.9400000000005"/>
    <n v="176022.32400000002"/>
    <n v="132016.7430000001"/>
    <n v="160253.6574750001"/>
  </r>
  <r>
    <x v="94"/>
    <d v="2024-08-19T00:00:00"/>
    <s v="CUST036"/>
    <s v="Nancy Collins"/>
    <s v="P003"/>
    <s v="Headphones"/>
    <s v="Electronics"/>
    <n v="3"/>
    <n v="149.99"/>
    <x v="2"/>
    <s v="East"/>
    <s v="Basic"/>
    <d v="2022-01-13T00:00:00"/>
    <n v="449.97"/>
    <d v="2026-03-03T18:05:35"/>
    <d v="2026-03-03T18:05:35"/>
    <n v="142185.32000000004"/>
    <n v="3.5999999999999996"/>
    <n v="539.96399999999994"/>
    <n v="170622.38400000005"/>
    <n v="127966.78800000012"/>
    <n v="155337.46210000003"/>
  </r>
  <r>
    <x v="95"/>
    <d v="2024-08-22T00:00:00"/>
    <s v="CUST044"/>
    <s v="Cynthia Price"/>
    <s v="P008"/>
    <s v="Bookshelf"/>
    <s v="Furniture"/>
    <n v="5"/>
    <n v="149.99"/>
    <x v="1"/>
    <s v="Central"/>
    <s v="Basic"/>
    <d v="2024-01-19T00:00:00"/>
    <n v="749.95"/>
    <d v="2026-03-03T18:05:35"/>
    <d v="2026-03-03T18:05:35"/>
    <n v="141735.35000000003"/>
    <n v="6"/>
    <n v="899.94"/>
    <n v="170082.42"/>
    <n v="127561.81500000012"/>
    <n v="154845.86987500003"/>
  </r>
  <r>
    <x v="96"/>
    <d v="2024-08-24T00:00:00"/>
    <s v="CUST039"/>
    <s v="Lawrence Reed"/>
    <s v="P004"/>
    <s v="Coffee Maker"/>
    <s v="Appliances"/>
    <n v="3"/>
    <n v="79.989999999999995"/>
    <x v="0"/>
    <s v="Central"/>
    <s v="Premium"/>
    <d v="2022-08-06T00:00:00"/>
    <n v="239.97"/>
    <d v="2026-03-03T18:05:35"/>
    <d v="2026-03-03T18:05:35"/>
    <n v="140985.40000000005"/>
    <n v="3.5999999999999996"/>
    <n v="287.96399999999994"/>
    <n v="169182.48"/>
    <n v="126886.86000000013"/>
    <n v="154026.54950000002"/>
  </r>
  <r>
    <x v="97"/>
    <d v="2024-08-24T00:00:00"/>
    <s v="CUST035"/>
    <s v="Harry Morgan"/>
    <s v="P009"/>
    <s v="Monitor"/>
    <s v="Electronics"/>
    <n v="2"/>
    <n v="249.99"/>
    <x v="0"/>
    <s v="South"/>
    <s v="Standard"/>
    <d v="2022-01-11T00:00:00"/>
    <n v="499.98"/>
    <d v="2026-03-03T18:05:35"/>
    <d v="2026-03-03T18:05:35"/>
    <n v="140745.43000000005"/>
    <n v="2.4"/>
    <n v="599.976"/>
    <n v="168894.516"/>
    <n v="126670.88700000013"/>
    <n v="153764.38227500001"/>
  </r>
  <r>
    <x v="98"/>
    <d v="2024-08-28T00:00:00"/>
    <s v="CUST047"/>
    <s v="Gerald Murphy"/>
    <s v="P002"/>
    <s v="Smartphone"/>
    <s v="Electronics"/>
    <n v="1"/>
    <n v="699.99"/>
    <x v="0"/>
    <s v="Central"/>
    <s v="Premium"/>
    <d v="2021-10-28T00:00:00"/>
    <n v="699.99"/>
    <d v="2026-03-03T18:05:35"/>
    <d v="2026-03-03T18:05:35"/>
    <n v="140245.45000000004"/>
    <n v="1.2"/>
    <n v="839.98799999999994"/>
    <n v="168294.54"/>
    <n v="126220.90500000012"/>
    <n v="153218.15412500003"/>
  </r>
  <r>
    <x v="99"/>
    <d v="2024-08-28T00:00:00"/>
    <s v="CUST034"/>
    <s v="Carol Evans"/>
    <s v="P003"/>
    <s v="Headphones"/>
    <s v="Electronics"/>
    <n v="3"/>
    <n v="149.99"/>
    <x v="0"/>
    <s v="West"/>
    <s v="Premium"/>
    <d v="2023-10-13T00:00:00"/>
    <n v="449.97"/>
    <d v="2026-03-03T18:05:35"/>
    <d v="2026-03-03T18:05:35"/>
    <n v="139545.46000000005"/>
    <n v="3.5999999999999996"/>
    <n v="539.96399999999994"/>
    <n v="167454.55200000003"/>
    <n v="125590.91400000014"/>
    <n v="152453.41505000001"/>
  </r>
  <r>
    <x v="100"/>
    <d v="2024-08-30T00:00:00"/>
    <s v="CUST032"/>
    <s v="Sandra Phillips"/>
    <s v="P002"/>
    <s v="Smartphone"/>
    <s v="Electronics"/>
    <n v="2"/>
    <n v="699.99"/>
    <x v="1"/>
    <s v="North"/>
    <s v="Premium"/>
    <d v="2021-08-13T00:00:00"/>
    <n v="1399.98"/>
    <d v="2026-03-03T18:05:35"/>
    <d v="2026-03-03T18:05:35"/>
    <n v="139095.49000000008"/>
    <n v="2.4"/>
    <n v="1679.9759999999999"/>
    <n v="166914.58799999999"/>
    <n v="125185.94100000014"/>
    <n v="151961.82282500001"/>
  </r>
  <r>
    <x v="101"/>
    <d v="2024-09-02T00:00:00"/>
    <s v="CUST034"/>
    <s v="Carol Evans"/>
    <s v="P009"/>
    <s v="Monitor"/>
    <s v="Electronics"/>
    <n v="1"/>
    <n v="249.99"/>
    <x v="1"/>
    <s v="West"/>
    <s v="Premium"/>
    <d v="2022-05-04T00:00:00"/>
    <n v="249.99"/>
    <d v="2026-03-03T18:05:35"/>
    <d v="2026-03-03T18:05:35"/>
    <n v="137695.51000000007"/>
    <n v="1.2"/>
    <n v="299.988"/>
    <n v="165234.61199999999"/>
    <n v="123925.95900000012"/>
    <n v="150432.34467500003"/>
  </r>
  <r>
    <x v="102"/>
    <d v="2024-09-02T00:00:00"/>
    <s v="CUST023"/>
    <s v="Paul Baker"/>
    <s v="P009"/>
    <s v="Monitor"/>
    <s v="Electronics"/>
    <n v="1"/>
    <n v="249.99"/>
    <x v="3"/>
    <s v="North"/>
    <s v="Premium"/>
    <d v="2024-02-10T00:00:00"/>
    <n v="249.99"/>
    <d v="2026-03-03T18:05:35"/>
    <d v="2026-03-03T18:05:35"/>
    <n v="137445.52000000005"/>
    <n v="1.2"/>
    <n v="299.988"/>
    <n v="164934.62399999998"/>
    <n v="123700.96800000014"/>
    <n v="150159.23060000001"/>
  </r>
  <r>
    <x v="103"/>
    <d v="2024-09-03T00:00:00"/>
    <s v="CUST039"/>
    <s v="Lawrence Reed"/>
    <s v="P002"/>
    <s v="Smartphone"/>
    <s v="Electronics"/>
    <n v="2"/>
    <n v="699.99"/>
    <x v="3"/>
    <s v="Central"/>
    <s v="Premium"/>
    <d v="2022-11-05T00:00:00"/>
    <n v="1399.98"/>
    <d v="2026-03-03T18:05:35"/>
    <d v="2026-03-03T18:05:35"/>
    <n v="137195.53000000006"/>
    <n v="2.4"/>
    <n v="1679.9759999999999"/>
    <n v="164634.63600000003"/>
    <n v="123475.97700000013"/>
    <n v="149886.11652500002"/>
  </r>
  <r>
    <x v="104"/>
    <d v="2024-09-06T00:00:00"/>
    <s v="CUST031"/>
    <s v="Steven Turner"/>
    <s v="P005"/>
    <s v="Blender"/>
    <s v="Appliances"/>
    <n v="3"/>
    <n v="59.99"/>
    <x v="1"/>
    <s v="Central"/>
    <s v="Premium"/>
    <d v="2022-06-05T00:00:00"/>
    <n v="179.97"/>
    <d v="2026-03-03T18:05:35"/>
    <d v="2026-03-03T18:05:35"/>
    <n v="135795.55000000005"/>
    <n v="3.5999999999999996"/>
    <n v="215.964"/>
    <n v="162954.66"/>
    <n v="122215.99500000014"/>
    <n v="148356.63837500004"/>
  </r>
  <r>
    <x v="105"/>
    <d v="2024-09-09T00:00:00"/>
    <s v="CUST002"/>
    <s v="Emma Wilson"/>
    <s v="P005"/>
    <s v="Blender"/>
    <s v="Appliances"/>
    <n v="3"/>
    <n v="59.99"/>
    <x v="2"/>
    <s v="East"/>
    <s v="Standard"/>
    <d v="2022-07-06T00:00:00"/>
    <n v="179.97"/>
    <d v="2026-03-03T18:05:35"/>
    <d v="2026-03-03T18:05:35"/>
    <n v="135615.58000000005"/>
    <n v="3.5999999999999996"/>
    <n v="215.964"/>
    <n v="162738.696"/>
    <n v="122054.02200000011"/>
    <n v="148160.02115000004"/>
  </r>
  <r>
    <x v="106"/>
    <d v="2024-09-09T00:00:00"/>
    <s v="CUST008"/>
    <s v="Jennifer Taylor"/>
    <s v="P004"/>
    <s v="Coffee Maker"/>
    <s v="Appliances"/>
    <n v="4"/>
    <n v="79.989999999999995"/>
    <x v="0"/>
    <s v="North"/>
    <s v="Basic"/>
    <d v="2021-11-30T00:00:00"/>
    <n v="319.95999999999998"/>
    <d v="2026-03-03T18:05:35"/>
    <d v="2026-03-03T18:05:35"/>
    <n v="135435.61000000004"/>
    <n v="4.8"/>
    <n v="383.95199999999994"/>
    <n v="162522.73199999999"/>
    <n v="121892.04900000012"/>
    <n v="147963.40392500005"/>
  </r>
  <r>
    <x v="107"/>
    <d v="2024-09-10T00:00:00"/>
    <s v="CUST017"/>
    <s v="Charles Allen"/>
    <s v="P004"/>
    <s v="Coffee Maker"/>
    <s v="Appliances"/>
    <n v="1"/>
    <n v="79.989999999999995"/>
    <x v="0"/>
    <s v="West"/>
    <s v="Basic"/>
    <d v="2022-05-12T00:00:00"/>
    <n v="79.989999999999995"/>
    <d v="2026-03-03T18:05:35"/>
    <d v="2026-03-03T18:05:35"/>
    <n v="135115.65000000002"/>
    <n v="1.2"/>
    <n v="95.987999999999985"/>
    <n v="162138.78"/>
    <n v="121604.08500000014"/>
    <n v="147613.84762500002"/>
  </r>
  <r>
    <x v="108"/>
    <d v="2024-09-12T00:00:00"/>
    <s v="CUST024"/>
    <s v="Dorothy Nelson"/>
    <s v="P007"/>
    <s v="Desk"/>
    <s v="Furniture"/>
    <n v="3"/>
    <n v="299.99"/>
    <x v="1"/>
    <s v="Central"/>
    <s v="Premium"/>
    <d v="2021-10-25T00:00:00"/>
    <n v="899.97"/>
    <d v="2026-03-03T18:05:35"/>
    <d v="2026-03-03T18:05:35"/>
    <n v="135035.66000000003"/>
    <n v="3.5999999999999996"/>
    <n v="1079.9639999999999"/>
    <n v="162042.79199999999"/>
    <n v="121532.09400000013"/>
    <n v="147526.45855000004"/>
  </r>
  <r>
    <x v="109"/>
    <d v="2024-09-13T00:00:00"/>
    <s v="CUST046"/>
    <s v="Kathleen Bennett"/>
    <s v="P010"/>
    <s v="Keyboard"/>
    <s v="Electronics"/>
    <n v="2"/>
    <n v="89.99"/>
    <x v="1"/>
    <s v="South"/>
    <s v="Premium"/>
    <d v="2022-03-21T00:00:00"/>
    <n v="179.98"/>
    <d v="2026-03-03T18:05:35"/>
    <d v="2026-03-03T18:05:35"/>
    <n v="134135.69000000003"/>
    <n v="2.4"/>
    <n v="215.97599999999997"/>
    <n v="160962.82799999998"/>
    <n v="120722.12100000013"/>
    <n v="146543.24132500004"/>
  </r>
  <r>
    <x v="110"/>
    <d v="2024-09-15T00:00:00"/>
    <s v="CUST042"/>
    <s v="Ruth Brooks"/>
    <s v="P003"/>
    <s v="Headphones"/>
    <s v="Electronics"/>
    <n v="4"/>
    <n v="149.99"/>
    <x v="0"/>
    <s v="North"/>
    <s v="Basic"/>
    <d v="2022-12-14T00:00:00"/>
    <n v="599.96"/>
    <d v="2026-03-03T18:05:35"/>
    <d v="2026-03-03T18:05:35"/>
    <n v="133955.71000000005"/>
    <n v="4.8"/>
    <n v="719.952"/>
    <n v="160746.85199999998"/>
    <n v="120560.13900000014"/>
    <n v="146346.61317500003"/>
  </r>
  <r>
    <x v="111"/>
    <d v="2024-09-16T00:00:00"/>
    <s v="CUST026"/>
    <s v="Karen Hill"/>
    <s v="P009"/>
    <s v="Monitor"/>
    <s v="Electronics"/>
    <n v="2"/>
    <n v="249.99"/>
    <x v="2"/>
    <s v="South"/>
    <s v="Basic"/>
    <d v="2023-03-08T00:00:00"/>
    <n v="499.98"/>
    <d v="2026-03-03T18:05:35"/>
    <d v="2026-03-03T18:05:35"/>
    <n v="133355.75000000006"/>
    <n v="2.4"/>
    <n v="599.976"/>
    <n v="160026.9"/>
    <n v="120020.17500000013"/>
    <n v="145691.15687500004"/>
  </r>
  <r>
    <x v="112"/>
    <d v="2024-09-16T00:00:00"/>
    <s v="CUST004"/>
    <s v="Sarah Davis"/>
    <s v="P006"/>
    <s v="Office Chair"/>
    <s v="Furniture"/>
    <n v="4"/>
    <n v="199.99"/>
    <x v="3"/>
    <s v="East"/>
    <s v="Basic"/>
    <d v="2021-09-19T00:00:00"/>
    <n v="799.96"/>
    <d v="2026-03-03T18:05:35"/>
    <d v="2026-03-03T18:05:35"/>
    <n v="132855.77000000005"/>
    <n v="4.8"/>
    <n v="959.952"/>
    <n v="159426.924"/>
    <n v="119570.19300000014"/>
    <n v="145144.92872500003"/>
  </r>
  <r>
    <x v="113"/>
    <d v="2024-09-19T00:00:00"/>
    <s v="CUST019"/>
    <s v="Daniel King"/>
    <s v="P010"/>
    <s v="Keyboard"/>
    <s v="Electronics"/>
    <n v="5"/>
    <n v="89.99"/>
    <x v="1"/>
    <s v="East"/>
    <s v="Premium"/>
    <d v="2021-09-07T00:00:00"/>
    <n v="449.95"/>
    <d v="2026-03-03T18:05:35"/>
    <d v="2026-03-03T18:05:35"/>
    <n v="132055.81000000006"/>
    <n v="6"/>
    <n v="539.93999999999994"/>
    <n v="158466.97200000001"/>
    <n v="118850.22900000014"/>
    <n v="144270.97242500004"/>
  </r>
  <r>
    <x v="114"/>
    <d v="2024-09-19T00:00:00"/>
    <s v="CUST011"/>
    <s v="William White"/>
    <s v="P003"/>
    <s v="Headphones"/>
    <s v="Electronics"/>
    <n v="1"/>
    <n v="149.99"/>
    <x v="2"/>
    <s v="East"/>
    <s v="Standard"/>
    <d v="2021-10-13T00:00:00"/>
    <n v="149.99"/>
    <d v="2026-03-03T18:05:35"/>
    <d v="2026-03-03T18:05:35"/>
    <n v="131605.86000000004"/>
    <n v="1.2"/>
    <n v="179.988"/>
    <n v="157927.03200000001"/>
    <n v="118445.27400000015"/>
    <n v="143779.40205000006"/>
  </r>
  <r>
    <x v="115"/>
    <d v="2024-09-19T00:00:00"/>
    <s v="CUST041"/>
    <s v="Peter Richardson"/>
    <s v="P002"/>
    <s v="Smartphone"/>
    <s v="Electronics"/>
    <n v="4"/>
    <n v="699.99"/>
    <x v="2"/>
    <s v="South"/>
    <s v="Basic"/>
    <d v="2022-02-26T00:00:00"/>
    <n v="2799.96"/>
    <d v="2026-03-03T18:05:35"/>
    <d v="2026-03-03T18:05:35"/>
    <n v="131455.87000000005"/>
    <n v="4.8"/>
    <n v="3359.9519999999998"/>
    <n v="157747.04399999999"/>
    <n v="118310.28300000014"/>
    <n v="143615.53797500007"/>
  </r>
  <r>
    <x v="116"/>
    <d v="2024-09-24T00:00:00"/>
    <s v="CUST032"/>
    <s v="Sandra Phillips"/>
    <s v="P001"/>
    <s v="Laptop"/>
    <s v="Electronics"/>
    <n v="3"/>
    <n v="899.99"/>
    <x v="1"/>
    <s v="North"/>
    <s v="Standard"/>
    <d v="2023-08-19T00:00:00"/>
    <n v="2699.97"/>
    <d v="2026-03-03T18:05:35"/>
    <d v="2026-03-03T18:05:35"/>
    <n v="128655.91000000006"/>
    <n v="3.5999999999999996"/>
    <n v="3239.9639999999995"/>
    <n v="154387.092"/>
    <n v="115790.31900000013"/>
    <n v="140556.58167500005"/>
  </r>
  <r>
    <x v="117"/>
    <d v="2024-09-25T00:00:00"/>
    <s v="CUST014"/>
    <s v="Linda Martin"/>
    <s v="P008"/>
    <s v="Bookshelf"/>
    <s v="Furniture"/>
    <n v="3"/>
    <n v="149.99"/>
    <x v="2"/>
    <s v="East"/>
    <s v="Basic"/>
    <d v="2022-11-21T00:00:00"/>
    <n v="449.97"/>
    <d v="2026-03-03T18:05:35"/>
    <d v="2026-03-03T18:05:35"/>
    <n v="125955.94000000005"/>
    <n v="3.5999999999999996"/>
    <n v="539.96399999999994"/>
    <n v="151147.12800000003"/>
    <n v="113360.34600000011"/>
    <n v="137606.86445000002"/>
  </r>
  <r>
    <x v="118"/>
    <d v="2024-09-28T00:00:00"/>
    <s v="CUST012"/>
    <s v="Patricia Moore"/>
    <s v="P007"/>
    <s v="Desk"/>
    <s v="Furniture"/>
    <n v="2"/>
    <n v="299.99"/>
    <x v="3"/>
    <s v="Central"/>
    <s v="Basic"/>
    <d v="2022-01-08T00:00:00"/>
    <n v="599.98"/>
    <d v="2026-03-03T18:05:35"/>
    <d v="2026-03-03T18:05:35"/>
    <n v="125505.97000000004"/>
    <n v="2.4"/>
    <n v="719.976"/>
    <n v="150607.16400000002"/>
    <n v="112955.37300000011"/>
    <n v="137115.27222500002"/>
  </r>
  <r>
    <x v="119"/>
    <d v="2024-09-29T00:00:00"/>
    <s v="CUST015"/>
    <s v="Richard Lee"/>
    <s v="P006"/>
    <s v="Office Chair"/>
    <s v="Furniture"/>
    <n v="1"/>
    <n v="199.99"/>
    <x v="3"/>
    <s v="East"/>
    <s v="Standard"/>
    <d v="2023-01-27T00:00:00"/>
    <n v="199.99"/>
    <d v="2026-03-03T18:05:35"/>
    <d v="2026-03-03T18:05:35"/>
    <n v="124905.99000000005"/>
    <n v="1.2"/>
    <n v="239.988"/>
    <n v="149887.18799999999"/>
    <n v="112415.39100000012"/>
    <n v="136459.79407500001"/>
  </r>
  <r>
    <x v="120"/>
    <d v="2024-10-01T00:00:00"/>
    <s v="CUST003"/>
    <s v="Michael Brown"/>
    <s v="P007"/>
    <s v="Desk"/>
    <s v="Furniture"/>
    <n v="4"/>
    <n v="299.99"/>
    <x v="0"/>
    <s v="Central"/>
    <s v="Premium"/>
    <d v="2021-09-21T00:00:00"/>
    <n v="1199.96"/>
    <d v="2026-03-03T18:05:35"/>
    <d v="2026-03-03T18:05:35"/>
    <n v="124706.00000000004"/>
    <n v="4.8"/>
    <n v="1439.952"/>
    <n v="149647.20000000001"/>
    <n v="112235.40000000011"/>
    <n v="136241.30500000002"/>
  </r>
  <r>
    <x v="121"/>
    <d v="2024-10-07T00:00:00"/>
    <s v="CUST010"/>
    <s v="Maria Garcia"/>
    <s v="P005"/>
    <s v="Blender"/>
    <s v="Appliances"/>
    <n v="2"/>
    <n v="59.99"/>
    <x v="1"/>
    <s v="Central"/>
    <s v="Basic"/>
    <d v="2022-01-18T00:00:00"/>
    <n v="119.98"/>
    <d v="2026-03-03T18:05:35"/>
    <d v="2026-03-03T18:05:35"/>
    <n v="123506.04000000002"/>
    <n v="2.4"/>
    <n v="143.976"/>
    <n v="148207.24800000002"/>
    <n v="111155.4360000001"/>
    <n v="134930.34870000003"/>
  </r>
  <r>
    <x v="122"/>
    <d v="2024-10-07T00:00:00"/>
    <s v="CUST032"/>
    <s v="Sandra Phillips"/>
    <s v="P003"/>
    <s v="Headphones"/>
    <s v="Electronics"/>
    <n v="4"/>
    <n v="149.99"/>
    <x v="1"/>
    <s v="North"/>
    <s v="Premium"/>
    <d v="2023-05-30T00:00:00"/>
    <n v="599.96"/>
    <d v="2026-03-03T18:05:35"/>
    <d v="2026-03-03T18:05:35"/>
    <n v="123386.06000000003"/>
    <n v="4.8"/>
    <n v="719.952"/>
    <n v="148063.27200000003"/>
    <n v="111047.45400000011"/>
    <n v="134799.27055000002"/>
  </r>
  <r>
    <x v="123"/>
    <d v="2024-10-08T00:00:00"/>
    <s v="CUST016"/>
    <s v="Elizabeth Hall"/>
    <s v="P002"/>
    <s v="Smartphone"/>
    <s v="Electronics"/>
    <n v="2"/>
    <n v="699.99"/>
    <x v="3"/>
    <s v="East"/>
    <s v="Premium"/>
    <d v="2023-12-14T00:00:00"/>
    <n v="1399.98"/>
    <d v="2026-03-03T18:05:35"/>
    <d v="2026-03-03T18:05:35"/>
    <n v="122786.10000000003"/>
    <n v="2.4"/>
    <n v="1679.9759999999999"/>
    <n v="147343.32000000004"/>
    <n v="110507.49000000011"/>
    <n v="134143.81425000002"/>
  </r>
  <r>
    <x v="124"/>
    <d v="2024-10-08T00:00:00"/>
    <s v="CUST034"/>
    <s v="Carol Evans"/>
    <s v="P008"/>
    <s v="Bookshelf"/>
    <s v="Furniture"/>
    <n v="3"/>
    <n v="149.99"/>
    <x v="1"/>
    <s v="South"/>
    <s v="Standard"/>
    <d v="2023-01-14T00:00:00"/>
    <n v="449.97"/>
    <d v="2026-03-03T18:05:35"/>
    <d v="2026-03-03T18:05:35"/>
    <n v="121386.12000000002"/>
    <n v="3.5999999999999996"/>
    <n v="539.96399999999994"/>
    <n v="145663.34399999998"/>
    <n v="109247.50800000012"/>
    <n v="132614.33610000001"/>
  </r>
  <r>
    <x v="125"/>
    <d v="2024-10-11T00:00:00"/>
    <s v="CUST019"/>
    <s v="Daniel King"/>
    <s v="P007"/>
    <s v="Desk"/>
    <s v="Furniture"/>
    <n v="3"/>
    <n v="299.99"/>
    <x v="1"/>
    <s v="Central"/>
    <s v="Standard"/>
    <d v="2023-09-05T00:00:00"/>
    <n v="899.97"/>
    <d v="2026-03-03T18:05:35"/>
    <d v="2026-03-03T18:05:35"/>
    <n v="120936.15000000002"/>
    <n v="3.5999999999999996"/>
    <n v="1079.9639999999999"/>
    <n v="145123.38"/>
    <n v="108842.53500000012"/>
    <n v="132122.74387500001"/>
  </r>
  <r>
    <x v="126"/>
    <d v="2024-10-14T00:00:00"/>
    <s v="CUST027"/>
    <s v="George Adams"/>
    <s v="P001"/>
    <s v="Laptop"/>
    <s v="Electronics"/>
    <n v="3"/>
    <n v="899.99"/>
    <x v="2"/>
    <s v="West"/>
    <s v="Basic"/>
    <d v="2023-10-16T00:00:00"/>
    <n v="2699.97"/>
    <d v="2026-03-03T18:05:35"/>
    <d v="2026-03-03T18:05:35"/>
    <n v="120036.18000000002"/>
    <n v="3.5999999999999996"/>
    <n v="3239.9639999999995"/>
    <n v="144043.416"/>
    <n v="108032.56200000009"/>
    <n v="131139.52665000001"/>
  </r>
  <r>
    <x v="127"/>
    <d v="2024-10-16T00:00:00"/>
    <s v="CUST018"/>
    <s v="Barbara Young"/>
    <s v="P002"/>
    <s v="Smartphone"/>
    <s v="Electronics"/>
    <n v="5"/>
    <n v="699.99"/>
    <x v="0"/>
    <s v="East"/>
    <s v="Standard"/>
    <d v="2023-03-23T00:00:00"/>
    <n v="3499.95"/>
    <d v="2026-03-03T18:05:35"/>
    <d v="2026-03-03T18:05:35"/>
    <n v="117336.21"/>
    <n v="6"/>
    <n v="4199.9400000000005"/>
    <n v="140803.45200000002"/>
    <n v="105602.58900000009"/>
    <n v="128189.809425"/>
  </r>
  <r>
    <x v="128"/>
    <d v="2024-10-16T00:00:00"/>
    <s v="CUST049"/>
    <s v="Raymond Ross"/>
    <s v="P002"/>
    <s v="Smartphone"/>
    <s v="Electronics"/>
    <n v="4"/>
    <n v="699.99"/>
    <x v="1"/>
    <s v="Central"/>
    <s v="Basic"/>
    <d v="2024-04-03T00:00:00"/>
    <n v="2799.96"/>
    <d v="2026-03-03T18:05:35"/>
    <d v="2026-03-03T18:05:35"/>
    <n v="113836.26"/>
    <n v="4.8"/>
    <n v="3359.9519999999998"/>
    <n v="136603.51200000002"/>
    <n v="102452.63400000009"/>
    <n v="124366.11405"/>
  </r>
  <r>
    <x v="129"/>
    <d v="2024-10-16T00:00:00"/>
    <s v="CUST040"/>
    <s v="Sharon Butler"/>
    <s v="P001"/>
    <s v="Laptop"/>
    <s v="Electronics"/>
    <n v="1"/>
    <n v="899.99"/>
    <x v="1"/>
    <s v="East"/>
    <s v="Standard"/>
    <d v="2024-03-18T00:00:00"/>
    <n v="899.99"/>
    <d v="2026-03-03T18:05:35"/>
    <d v="2026-03-03T18:05:35"/>
    <n v="111036.29999999999"/>
    <n v="1.2"/>
    <n v="1079.9880000000001"/>
    <n v="133243.55999999997"/>
    <n v="99932.670000000086"/>
    <n v="121307.15775"/>
  </r>
  <r>
    <x v="130"/>
    <d v="2024-10-18T00:00:00"/>
    <s v="CUST039"/>
    <s v="Lawrence Reed"/>
    <s v="P003"/>
    <s v="Headphones"/>
    <s v="Electronics"/>
    <n v="2"/>
    <n v="149.99"/>
    <x v="1"/>
    <s v="West"/>
    <s v="Basic"/>
    <d v="2022-12-21T00:00:00"/>
    <n v="299.98"/>
    <d v="2026-03-03T18:05:35"/>
    <d v="2026-03-03T18:05:35"/>
    <n v="110136.31"/>
    <n v="2.4"/>
    <n v="359.976"/>
    <n v="132163.57199999996"/>
    <n v="99122.679000000091"/>
    <n v="120323.91867499999"/>
  </r>
  <r>
    <x v="131"/>
    <d v="2024-10-21T00:00:00"/>
    <s v="CUST039"/>
    <s v="Lawrence Reed"/>
    <s v="P010"/>
    <s v="Keyboard"/>
    <s v="Electronics"/>
    <n v="3"/>
    <n v="89.99"/>
    <x v="2"/>
    <s v="Central"/>
    <s v="Basic"/>
    <d v="2021-12-21T00:00:00"/>
    <n v="269.97000000000003"/>
    <d v="2026-03-03T18:05:35"/>
    <d v="2026-03-03T18:05:35"/>
    <n v="109836.33"/>
    <n v="3.5999999999999996"/>
    <n v="323.96399999999994"/>
    <n v="131803.59599999996"/>
    <n v="98852.697000000087"/>
    <n v="119996.190525"/>
  </r>
  <r>
    <x v="132"/>
    <d v="2024-10-23T00:00:00"/>
    <s v="CUST046"/>
    <s v="Kathleen Bennett"/>
    <s v="P003"/>
    <s v="Headphones"/>
    <s v="Electronics"/>
    <n v="2"/>
    <n v="149.99"/>
    <x v="2"/>
    <s v="Central"/>
    <s v="Basic"/>
    <d v="2021-10-04T00:00:00"/>
    <n v="299.98"/>
    <d v="2026-03-03T18:05:35"/>
    <d v="2026-03-03T18:05:35"/>
    <n v="109566.36"/>
    <n v="2.4"/>
    <n v="359.976"/>
    <n v="131479.63199999995"/>
    <n v="98609.724000000089"/>
    <n v="119701.24830000001"/>
  </r>
  <r>
    <x v="133"/>
    <d v="2024-10-23T00:00:00"/>
    <s v="CUST004"/>
    <s v="Sarah Davis"/>
    <s v="P002"/>
    <s v="Smartphone"/>
    <s v="Electronics"/>
    <n v="2"/>
    <n v="699.99"/>
    <x v="0"/>
    <s v="Central"/>
    <s v="Basic"/>
    <d v="2023-03-07T00:00:00"/>
    <n v="1399.98"/>
    <d v="2026-03-03T18:05:35"/>
    <d v="2026-03-03T18:05:35"/>
    <n v="109266.37999999999"/>
    <n v="2.4"/>
    <n v="1679.9759999999999"/>
    <n v="131119.65599999996"/>
    <n v="98339.742000000086"/>
    <n v="119373.52015"/>
  </r>
  <r>
    <x v="134"/>
    <d v="2024-10-24T00:00:00"/>
    <s v="CUST028"/>
    <s v="Betty Campbell"/>
    <s v="P002"/>
    <s v="Smartphone"/>
    <s v="Electronics"/>
    <n v="5"/>
    <n v="699.99"/>
    <x v="0"/>
    <s v="North"/>
    <s v="Premium"/>
    <d v="2022-03-15T00:00:00"/>
    <n v="3499.95"/>
    <d v="2026-03-03T18:05:35"/>
    <d v="2026-03-03T18:05:35"/>
    <n v="107866.4"/>
    <n v="6"/>
    <n v="4199.9400000000005"/>
    <n v="129439.67999999996"/>
    <n v="97079.760000000082"/>
    <n v="117844.04199999999"/>
  </r>
  <r>
    <x v="135"/>
    <d v="2024-10-27T00:00:00"/>
    <s v="CUST049"/>
    <s v="Raymond Ross"/>
    <s v="P010"/>
    <s v="Keyboard"/>
    <s v="Electronics"/>
    <n v="3"/>
    <n v="89.99"/>
    <x v="1"/>
    <s v="North"/>
    <s v="Standard"/>
    <d v="2022-02-23T00:00:00"/>
    <n v="269.97000000000003"/>
    <d v="2026-03-03T18:05:35"/>
    <d v="2026-03-03T18:05:35"/>
    <n v="104366.45"/>
    <n v="3.5999999999999996"/>
    <n v="323.96399999999994"/>
    <n v="125239.73999999996"/>
    <n v="93929.805000000066"/>
    <n v="114020.34662499999"/>
  </r>
  <r>
    <x v="136"/>
    <d v="2024-11-01T00:00:00"/>
    <s v="CUST023"/>
    <s v="Paul Baker"/>
    <s v="P009"/>
    <s v="Monitor"/>
    <s v="Electronics"/>
    <n v="5"/>
    <n v="249.99"/>
    <x v="1"/>
    <s v="South"/>
    <s v="Standard"/>
    <d v="2022-11-16T00:00:00"/>
    <n v="1249.95"/>
    <d v="2026-03-03T18:05:35"/>
    <d v="2026-03-03T18:05:35"/>
    <n v="104096.48"/>
    <n v="6"/>
    <n v="1499.94"/>
    <n v="124915.77599999995"/>
    <n v="93686.832000000068"/>
    <n v="113725.4044"/>
  </r>
  <r>
    <x v="137"/>
    <d v="2024-11-04T00:00:00"/>
    <s v="CUST026"/>
    <s v="Karen Hill"/>
    <s v="P007"/>
    <s v="Desk"/>
    <s v="Furniture"/>
    <n v="3"/>
    <n v="299.99"/>
    <x v="1"/>
    <s v="South"/>
    <s v="Standard"/>
    <d v="2021-11-02T00:00:00"/>
    <n v="899.97"/>
    <d v="2026-03-03T18:05:35"/>
    <d v="2026-03-03T18:05:35"/>
    <n v="102846.53"/>
    <n v="3.5999999999999996"/>
    <n v="1079.9639999999999"/>
    <n v="123415.83599999995"/>
    <n v="92561.877000000066"/>
    <n v="112359.83402499997"/>
  </r>
  <r>
    <x v="138"/>
    <d v="2024-11-07T00:00:00"/>
    <s v="CUST012"/>
    <s v="Patricia Moore"/>
    <s v="P010"/>
    <s v="Keyboard"/>
    <s v="Electronics"/>
    <n v="3"/>
    <n v="89.99"/>
    <x v="1"/>
    <s v="North"/>
    <s v="Premium"/>
    <d v="2021-08-12T00:00:00"/>
    <n v="269.97000000000003"/>
    <d v="2026-03-03T18:05:35"/>
    <d v="2026-03-03T18:05:35"/>
    <n v="101946.56"/>
    <n v="3.5999999999999996"/>
    <n v="323.96399999999994"/>
    <n v="122335.87199999997"/>
    <n v="91751.904000000082"/>
    <n v="111376.61679999997"/>
  </r>
  <r>
    <x v="139"/>
    <d v="2024-11-08T00:00:00"/>
    <s v="CUST010"/>
    <s v="Maria Garcia"/>
    <s v="P008"/>
    <s v="Bookshelf"/>
    <s v="Furniture"/>
    <n v="2"/>
    <n v="149.99"/>
    <x v="1"/>
    <s v="West"/>
    <s v="Premium"/>
    <d v="2022-10-14T00:00:00"/>
    <n v="299.98"/>
    <d v="2026-03-03T18:05:35"/>
    <d v="2026-03-03T18:05:35"/>
    <n v="101676.59000000001"/>
    <n v="2.4"/>
    <n v="359.976"/>
    <n v="122011.90799999997"/>
    <n v="91508.931000000084"/>
    <n v="111081.67457499998"/>
  </r>
  <r>
    <x v="140"/>
    <d v="2024-11-09T00:00:00"/>
    <s v="CUST020"/>
    <s v="Margaret Wright"/>
    <s v="P009"/>
    <s v="Monitor"/>
    <s v="Electronics"/>
    <n v="1"/>
    <n v="249.99"/>
    <x v="1"/>
    <s v="North"/>
    <s v="Premium"/>
    <d v="2022-09-24T00:00:00"/>
    <n v="249.99"/>
    <d v="2026-03-03T18:05:35"/>
    <d v="2026-03-03T18:05:35"/>
    <n v="101376.61"/>
    <n v="1.2"/>
    <n v="299.988"/>
    <n v="121651.93199999997"/>
    <n v="91238.949000000066"/>
    <n v="110753.94642499997"/>
  </r>
  <r>
    <x v="141"/>
    <d v="2024-11-11T00:00:00"/>
    <s v="CUST041"/>
    <s v="Peter Richardson"/>
    <s v="P003"/>
    <s v="Headphones"/>
    <s v="Electronics"/>
    <n v="3"/>
    <n v="149.99"/>
    <x v="0"/>
    <s v="North"/>
    <s v="Basic"/>
    <d v="2022-07-27T00:00:00"/>
    <n v="449.97"/>
    <d v="2026-03-03T18:05:35"/>
    <d v="2026-03-03T18:05:35"/>
    <n v="101126.62"/>
    <n v="3.5999999999999996"/>
    <n v="539.96399999999994"/>
    <n v="121351.94399999996"/>
    <n v="91013.958000000071"/>
    <n v="110480.83234999998"/>
  </r>
  <r>
    <x v="142"/>
    <d v="2024-11-11T00:00:00"/>
    <s v="CUST023"/>
    <s v="Paul Baker"/>
    <s v="P005"/>
    <s v="Blender"/>
    <s v="Appliances"/>
    <n v="5"/>
    <n v="59.99"/>
    <x v="2"/>
    <s v="West"/>
    <s v="Premium"/>
    <d v="2022-05-13T00:00:00"/>
    <n v="299.95"/>
    <d v="2026-03-03T18:05:35"/>
    <d v="2026-03-03T18:05:35"/>
    <n v="100676.65"/>
    <n v="6"/>
    <n v="359.94"/>
    <n v="120811.97999999995"/>
    <n v="90608.985000000073"/>
    <n v="109989.24012499998"/>
  </r>
  <r>
    <x v="143"/>
    <d v="2024-11-11T00:00:00"/>
    <s v="CUST012"/>
    <s v="Patricia Moore"/>
    <s v="P009"/>
    <s v="Monitor"/>
    <s v="Electronics"/>
    <n v="4"/>
    <n v="249.99"/>
    <x v="1"/>
    <s v="West"/>
    <s v="Standard"/>
    <d v="2022-04-08T00:00:00"/>
    <n v="999.96"/>
    <d v="2026-03-03T18:05:35"/>
    <d v="2026-03-03T18:05:35"/>
    <n v="100376.7"/>
    <n v="4.8"/>
    <n v="1199.952"/>
    <n v="120452.03999999995"/>
    <n v="90339.030000000072"/>
    <n v="109661.54474999997"/>
  </r>
  <r>
    <x v="144"/>
    <d v="2024-11-12T00:00:00"/>
    <s v="CUST004"/>
    <s v="Sarah Davis"/>
    <s v="P008"/>
    <s v="Bookshelf"/>
    <s v="Furniture"/>
    <n v="5"/>
    <n v="149.99"/>
    <x v="2"/>
    <s v="Central"/>
    <s v="Basic"/>
    <d v="2022-12-06T00:00:00"/>
    <n v="749.95"/>
    <d v="2026-03-03T18:05:35"/>
    <d v="2026-03-03T18:05:35"/>
    <n v="99376.74"/>
    <n v="6"/>
    <n v="899.94"/>
    <n v="119252.08799999996"/>
    <n v="89439.066000000064"/>
    <n v="108569.08844999998"/>
  </r>
  <r>
    <x v="145"/>
    <d v="2024-11-12T00:00:00"/>
    <s v="CUST027"/>
    <s v="George Adams"/>
    <s v="P005"/>
    <s v="Blender"/>
    <s v="Appliances"/>
    <n v="3"/>
    <n v="59.99"/>
    <x v="3"/>
    <s v="South"/>
    <s v="Standard"/>
    <d v="2023-11-30T00:00:00"/>
    <n v="179.97"/>
    <d v="2026-03-03T18:05:35"/>
    <d v="2026-03-03T18:05:35"/>
    <n v="98626.79"/>
    <n v="3.5999999999999996"/>
    <n v="215.964"/>
    <n v="118352.14799999996"/>
    <n v="88764.111000000063"/>
    <n v="107749.768075"/>
  </r>
  <r>
    <x v="146"/>
    <d v="2024-11-17T00:00:00"/>
    <s v="CUST032"/>
    <s v="Sandra Phillips"/>
    <s v="P008"/>
    <s v="Bookshelf"/>
    <s v="Furniture"/>
    <n v="5"/>
    <n v="149.99"/>
    <x v="0"/>
    <s v="North"/>
    <s v="Basic"/>
    <d v="2022-11-04T00:00:00"/>
    <n v="749.95"/>
    <d v="2026-03-03T18:05:35"/>
    <d v="2026-03-03T18:05:35"/>
    <n v="98446.82"/>
    <n v="6"/>
    <n v="899.94"/>
    <n v="118136.18399999995"/>
    <n v="88602.138000000064"/>
    <n v="107553.15084999999"/>
  </r>
  <r>
    <x v="147"/>
    <d v="2024-11-17T00:00:00"/>
    <s v="CUST025"/>
    <s v="Mark Carter"/>
    <s v="P002"/>
    <s v="Smartphone"/>
    <s v="Electronics"/>
    <n v="2"/>
    <n v="699.99"/>
    <x v="2"/>
    <s v="West"/>
    <s v="Standard"/>
    <d v="2022-07-28T00:00:00"/>
    <n v="1399.98"/>
    <d v="2026-03-03T18:05:35"/>
    <d v="2026-03-03T18:05:35"/>
    <n v="97696.87"/>
    <n v="2.4"/>
    <n v="1679.9759999999999"/>
    <n v="117236.24399999995"/>
    <n v="87927.183000000063"/>
    <n v="106733.830475"/>
  </r>
  <r>
    <x v="148"/>
    <d v="2024-11-21T00:00:00"/>
    <s v="CUST029"/>
    <s v="Edward Mitchell"/>
    <s v="P006"/>
    <s v="Office Chair"/>
    <s v="Furniture"/>
    <n v="4"/>
    <n v="199.99"/>
    <x v="3"/>
    <s v="Central"/>
    <s v="Premium"/>
    <d v="2021-08-19T00:00:00"/>
    <n v="799.96"/>
    <d v="2026-03-03T18:05:35"/>
    <d v="2026-03-03T18:05:35"/>
    <n v="96296.890000000014"/>
    <n v="4.8"/>
    <n v="959.952"/>
    <n v="115556.26799999995"/>
    <n v="86667.201000000059"/>
    <n v="105204.35232499999"/>
  </r>
  <r>
    <x v="149"/>
    <d v="2024-11-23T00:00:00"/>
    <s v="CUST033"/>
    <s v="Frank Torres"/>
    <s v="P005"/>
    <s v="Blender"/>
    <s v="Appliances"/>
    <n v="1"/>
    <n v="59.99"/>
    <x v="3"/>
    <s v="West"/>
    <s v="Standard"/>
    <d v="2021-12-30T00:00:00"/>
    <n v="59.99"/>
    <d v="2026-03-03T18:05:35"/>
    <d v="2026-03-03T18:05:35"/>
    <n v="95496.930000000008"/>
    <n v="1.2"/>
    <n v="71.988"/>
    <n v="114596.31599999993"/>
    <n v="85947.237000000066"/>
    <n v="104330.39602499999"/>
  </r>
  <r>
    <x v="150"/>
    <d v="2024-11-23T00:00:00"/>
    <s v="CUST004"/>
    <s v="Sarah Davis"/>
    <s v="P002"/>
    <s v="Smartphone"/>
    <s v="Electronics"/>
    <n v="3"/>
    <n v="699.99"/>
    <x v="2"/>
    <s v="West"/>
    <s v="Standard"/>
    <d v="2022-01-22T00:00:00"/>
    <n v="2099.9699999999998"/>
    <d v="2026-03-03T18:05:35"/>
    <d v="2026-03-03T18:05:35"/>
    <n v="95436.94"/>
    <n v="3.5999999999999996"/>
    <n v="2519.9639999999999"/>
    <n v="114524.32799999995"/>
    <n v="85893.246000000072"/>
    <n v="104264.85694999999"/>
  </r>
  <r>
    <x v="151"/>
    <d v="2024-11-26T00:00:00"/>
    <s v="CUST045"/>
    <s v="Douglas Watson"/>
    <s v="P009"/>
    <s v="Monitor"/>
    <s v="Electronics"/>
    <n v="5"/>
    <n v="249.99"/>
    <x v="1"/>
    <s v="North"/>
    <s v="Basic"/>
    <d v="2022-11-08T00:00:00"/>
    <n v="1249.95"/>
    <d v="2026-03-03T18:05:35"/>
    <d v="2026-03-03T18:05:35"/>
    <n v="93336.969999999987"/>
    <n v="6"/>
    <n v="1499.94"/>
    <n v="112004.36399999994"/>
    <n v="84003.273000000059"/>
    <n v="101970.63972499999"/>
  </r>
  <r>
    <x v="152"/>
    <d v="2024-11-27T00:00:00"/>
    <s v="CUST014"/>
    <s v="Linda Martin"/>
    <s v="P008"/>
    <s v="Bookshelf"/>
    <s v="Furniture"/>
    <n v="2"/>
    <n v="149.99"/>
    <x v="0"/>
    <s v="South"/>
    <s v="Standard"/>
    <d v="2023-06-24T00:00:00"/>
    <n v="299.98"/>
    <d v="2026-03-03T18:05:35"/>
    <d v="2026-03-03T18:05:35"/>
    <n v="92087.02"/>
    <n v="2.4"/>
    <n v="359.976"/>
    <n v="110504.42399999994"/>
    <n v="82878.318000000072"/>
    <n v="100605.06934999999"/>
  </r>
  <r>
    <x v="153"/>
    <d v="2024-12-01T00:00:00"/>
    <s v="CUST021"/>
    <s v="Kevin Scott"/>
    <s v="P007"/>
    <s v="Desk"/>
    <s v="Furniture"/>
    <n v="3"/>
    <n v="299.99"/>
    <x v="0"/>
    <s v="South"/>
    <s v="Premium"/>
    <d v="2022-04-08T00:00:00"/>
    <n v="899.97"/>
    <d v="2026-03-03T18:05:35"/>
    <d v="2026-03-03T18:05:35"/>
    <n v="91787.040000000008"/>
    <n v="3.5999999999999996"/>
    <n v="1079.9639999999999"/>
    <n v="110144.44799999995"/>
    <n v="82608.336000000068"/>
    <n v="100277.3412"/>
  </r>
  <r>
    <x v="154"/>
    <d v="2024-12-01T00:00:00"/>
    <s v="CUST017"/>
    <s v="Charles Allen"/>
    <s v="P009"/>
    <s v="Monitor"/>
    <s v="Electronics"/>
    <n v="5"/>
    <n v="249.99"/>
    <x v="0"/>
    <s v="Central"/>
    <s v="Premium"/>
    <d v="2021-10-16T00:00:00"/>
    <n v="1249.95"/>
    <d v="2026-03-03T18:05:35"/>
    <d v="2026-03-03T18:05:35"/>
    <n v="90887.07"/>
    <n v="6"/>
    <n v="1499.94"/>
    <n v="109064.48399999994"/>
    <n v="81798.36300000007"/>
    <n v="99294.123974999995"/>
  </r>
  <r>
    <x v="155"/>
    <d v="2024-12-01T00:00:00"/>
    <s v="CUST013"/>
    <s v="Joseph Jackson"/>
    <s v="P003"/>
    <s v="Headphones"/>
    <s v="Electronics"/>
    <n v="2"/>
    <n v="149.99"/>
    <x v="0"/>
    <s v="South"/>
    <s v="Premium"/>
    <d v="2021-10-06T00:00:00"/>
    <n v="299.98"/>
    <d v="2026-03-03T18:05:35"/>
    <d v="2026-03-03T18:05:35"/>
    <n v="89637.12000000001"/>
    <n v="2.4"/>
    <n v="359.976"/>
    <n v="107564.54399999997"/>
    <n v="80673.408000000069"/>
    <n v="97928.553599999985"/>
  </r>
  <r>
    <x v="156"/>
    <d v="2024-12-01T00:00:00"/>
    <s v="CUST025"/>
    <s v="Mark Carter"/>
    <s v="P002"/>
    <s v="Smartphone"/>
    <s v="Electronics"/>
    <n v="5"/>
    <n v="699.99"/>
    <x v="3"/>
    <s v="West"/>
    <s v="Standard"/>
    <d v="2023-01-18T00:00:00"/>
    <n v="3499.95"/>
    <d v="2026-03-03T18:05:35"/>
    <d v="2026-03-03T18:05:35"/>
    <n v="89337.140000000014"/>
    <n v="6"/>
    <n v="4199.9400000000005"/>
    <n v="107204.56799999997"/>
    <n v="80403.42600000008"/>
    <n v="97600.825449999989"/>
  </r>
  <r>
    <x v="157"/>
    <d v="2024-12-03T00:00:00"/>
    <s v="CUST011"/>
    <s v="William White"/>
    <s v="P009"/>
    <s v="Monitor"/>
    <s v="Electronics"/>
    <n v="4"/>
    <n v="249.99"/>
    <x v="2"/>
    <s v="East"/>
    <s v="Premium"/>
    <d v="2023-06-21T00:00:00"/>
    <n v="999.96"/>
    <d v="2026-03-03T18:05:35"/>
    <d v="2026-03-03T18:05:35"/>
    <n v="85837.190000000031"/>
    <n v="4.8"/>
    <n v="1199.952"/>
    <n v="103004.62799999997"/>
    <n v="77253.471000000063"/>
    <n v="93777.130075000023"/>
  </r>
  <r>
    <x v="158"/>
    <d v="2024-12-04T00:00:00"/>
    <s v="CUST024"/>
    <s v="Dorothy Nelson"/>
    <s v="P002"/>
    <s v="Smartphone"/>
    <s v="Electronics"/>
    <n v="4"/>
    <n v="699.99"/>
    <x v="1"/>
    <s v="North"/>
    <s v="Premium"/>
    <d v="2022-05-22T00:00:00"/>
    <n v="2799.96"/>
    <d v="2026-03-03T18:05:35"/>
    <d v="2026-03-03T18:05:35"/>
    <n v="84837.230000000025"/>
    <n v="4.8"/>
    <n v="3359.9519999999998"/>
    <n v="101804.67599999998"/>
    <n v="76353.507000000071"/>
    <n v="92684.673775000032"/>
  </r>
  <r>
    <x v="159"/>
    <d v="2024-12-09T00:00:00"/>
    <s v="CUST036"/>
    <s v="Nancy Collins"/>
    <s v="P009"/>
    <s v="Monitor"/>
    <s v="Electronics"/>
    <n v="2"/>
    <n v="249.99"/>
    <x v="1"/>
    <s v="Central"/>
    <s v="Premium"/>
    <d v="2021-07-19T00:00:00"/>
    <n v="499.98"/>
    <d v="2026-03-03T18:05:35"/>
    <d v="2026-03-03T18:05:35"/>
    <n v="82037.270000000019"/>
    <n v="2.4"/>
    <n v="599.976"/>
    <n v="98444.723999999958"/>
    <n v="73833.543000000078"/>
    <n v="89625.717475000027"/>
  </r>
  <r>
    <x v="160"/>
    <d v="2024-12-09T00:00:00"/>
    <s v="CUST005"/>
    <s v="James Johnson"/>
    <s v="P005"/>
    <s v="Blender"/>
    <s v="Appliances"/>
    <n v="3"/>
    <n v="59.99"/>
    <x v="0"/>
    <s v="Central"/>
    <s v="Premium"/>
    <d v="2023-05-06T00:00:00"/>
    <n v="179.97"/>
    <d v="2026-03-03T18:05:35"/>
    <d v="2026-03-03T18:05:35"/>
    <n v="81537.290000000023"/>
    <n v="3.5999999999999996"/>
    <n v="215.964"/>
    <n v="97844.747999999963"/>
    <n v="73383.56100000006"/>
    <n v="89079.489325000017"/>
  </r>
  <r>
    <x v="161"/>
    <d v="2024-12-09T00:00:00"/>
    <s v="CUST008"/>
    <s v="Jennifer Taylor"/>
    <s v="P004"/>
    <s v="Coffee Maker"/>
    <s v="Appliances"/>
    <n v="4"/>
    <n v="79.989999999999995"/>
    <x v="3"/>
    <s v="East"/>
    <s v="Standard"/>
    <d v="2022-12-26T00:00:00"/>
    <n v="319.95999999999998"/>
    <d v="2026-03-03T18:05:35"/>
    <d v="2026-03-03T18:05:35"/>
    <n v="81357.320000000007"/>
    <n v="4.8"/>
    <n v="383.95199999999994"/>
    <n v="97628.783999999956"/>
    <n v="73221.588000000062"/>
    <n v="88882.872100000022"/>
  </r>
  <r>
    <x v="162"/>
    <d v="2024-12-10T00:00:00"/>
    <s v="CUST030"/>
    <s v="Helen Roberts"/>
    <s v="P004"/>
    <s v="Coffee Maker"/>
    <s v="Appliances"/>
    <n v="3"/>
    <n v="79.989999999999995"/>
    <x v="3"/>
    <s v="East"/>
    <s v="Standard"/>
    <d v="2022-08-06T00:00:00"/>
    <n v="239.97"/>
    <d v="2026-03-03T18:05:35"/>
    <d v="2026-03-03T18:05:35"/>
    <n v="81037.360000000015"/>
    <n v="3.5999999999999996"/>
    <n v="287.96399999999994"/>
    <n v="97244.831999999966"/>
    <n v="72933.624000000054"/>
    <n v="88533.315800000026"/>
  </r>
  <r>
    <x v="163"/>
    <d v="2024-12-12T00:00:00"/>
    <s v="CUST041"/>
    <s v="Peter Richardson"/>
    <s v="P001"/>
    <s v="Laptop"/>
    <s v="Electronics"/>
    <n v="2"/>
    <n v="899.99"/>
    <x v="0"/>
    <s v="North"/>
    <s v="Basic"/>
    <d v="2021-07-29T00:00:00"/>
    <n v="1799.98"/>
    <d v="2026-03-03T18:05:35"/>
    <d v="2026-03-03T18:05:35"/>
    <n v="80797.390000000014"/>
    <n v="2.4"/>
    <n v="2159.9760000000001"/>
    <n v="96956.867999999959"/>
    <n v="72717.651000000042"/>
    <n v="88271.148575000043"/>
  </r>
  <r>
    <x v="164"/>
    <d v="2024-12-15T00:00:00"/>
    <s v="CUST007"/>
    <s v="David Martinez"/>
    <s v="P008"/>
    <s v="Bookshelf"/>
    <s v="Furniture"/>
    <n v="1"/>
    <n v="149.99"/>
    <x v="3"/>
    <s v="East"/>
    <s v="Standard"/>
    <d v="2023-10-01T00:00:00"/>
    <n v="149.99"/>
    <d v="2026-03-03T18:05:35"/>
    <d v="2026-03-03T18:05:35"/>
    <n v="78997.410000000018"/>
    <n v="1.2"/>
    <n v="179.988"/>
    <n v="94796.891999999963"/>
    <n v="71097.669000000053"/>
    <n v="86304.670425000033"/>
  </r>
  <r>
    <x v="165"/>
    <d v="2024-12-15T00:00:00"/>
    <s v="CUST031"/>
    <s v="Steven Turner"/>
    <s v="P007"/>
    <s v="Desk"/>
    <s v="Furniture"/>
    <n v="2"/>
    <n v="299.99"/>
    <x v="0"/>
    <s v="East"/>
    <s v="Premium"/>
    <d v="2022-06-12T00:00:00"/>
    <n v="599.98"/>
    <d v="2026-03-03T18:05:35"/>
    <d v="2026-03-03T18:05:35"/>
    <n v="78847.420000000013"/>
    <n v="2.4"/>
    <n v="719.976"/>
    <n v="94616.90399999998"/>
    <n v="70962.678000000044"/>
    <n v="86140.806350000043"/>
  </r>
  <r>
    <x v="166"/>
    <d v="2024-12-18T00:00:00"/>
    <s v="CUST002"/>
    <s v="Emma Wilson"/>
    <s v="P005"/>
    <s v="Blender"/>
    <s v="Appliances"/>
    <n v="2"/>
    <n v="59.99"/>
    <x v="0"/>
    <s v="West"/>
    <s v="Basic"/>
    <d v="2023-09-22T00:00:00"/>
    <n v="119.98"/>
    <d v="2026-03-03T18:05:35"/>
    <d v="2026-03-03T18:05:35"/>
    <n v="78247.440000000017"/>
    <n v="2.4"/>
    <n v="143.976"/>
    <n v="93896.927999999985"/>
    <n v="70422.696000000054"/>
    <n v="85485.328200000033"/>
  </r>
  <r>
    <x v="167"/>
    <d v="2024-12-19T00:00:00"/>
    <s v="CUST007"/>
    <s v="David Martinez"/>
    <s v="P010"/>
    <s v="Keyboard"/>
    <s v="Electronics"/>
    <n v="1"/>
    <n v="89.99"/>
    <x v="3"/>
    <s v="Central"/>
    <s v="Standard"/>
    <d v="2022-07-18T00:00:00"/>
    <n v="89.99"/>
    <d v="2026-03-03T18:05:35"/>
    <d v="2026-03-03T18:05:35"/>
    <n v="78127.460000000021"/>
    <n v="1.2"/>
    <n v="107.98799999999999"/>
    <n v="93752.951999999961"/>
    <n v="70314.714000000051"/>
    <n v="85354.250050000031"/>
  </r>
  <r>
    <x v="168"/>
    <d v="2024-12-19T00:00:00"/>
    <s v="CUST019"/>
    <s v="Daniel King"/>
    <s v="P001"/>
    <s v="Laptop"/>
    <s v="Electronics"/>
    <n v="5"/>
    <n v="899.99"/>
    <x v="3"/>
    <s v="East"/>
    <s v="Standard"/>
    <d v="2022-03-05T00:00:00"/>
    <n v="4499.95"/>
    <d v="2026-03-03T18:05:35"/>
    <d v="2026-03-03T18:05:35"/>
    <n v="78037.470000000016"/>
    <n v="6"/>
    <n v="5399.9400000000005"/>
    <n v="93644.963999999978"/>
    <n v="70233.723000000042"/>
    <n v="85255.935975000044"/>
  </r>
  <r>
    <x v="169"/>
    <d v="2024-12-20T00:00:00"/>
    <s v="CUST003"/>
    <s v="Michael Brown"/>
    <s v="P008"/>
    <s v="Bookshelf"/>
    <s v="Furniture"/>
    <n v="2"/>
    <n v="149.99"/>
    <x v="0"/>
    <s v="South"/>
    <s v="Basic"/>
    <d v="2023-11-09T00:00:00"/>
    <n v="299.98"/>
    <d v="2026-03-03T18:05:35"/>
    <d v="2026-03-03T18:05:35"/>
    <n v="73537.52"/>
    <n v="2.4"/>
    <n v="359.976"/>
    <n v="88245.024000000005"/>
    <n v="66183.768000000055"/>
    <n v="80339.740600000019"/>
  </r>
  <r>
    <x v="170"/>
    <d v="2024-12-22T00:00:00"/>
    <s v="CUST014"/>
    <s v="Linda Martin"/>
    <s v="P003"/>
    <s v="Headphones"/>
    <s v="Electronics"/>
    <n v="2"/>
    <n v="149.99"/>
    <x v="3"/>
    <s v="West"/>
    <s v="Premium"/>
    <d v="2023-12-20T00:00:00"/>
    <n v="299.98"/>
    <d v="2026-03-03T18:05:35"/>
    <d v="2026-03-03T18:05:35"/>
    <n v="73237.540000000008"/>
    <n v="2.4"/>
    <n v="359.976"/>
    <n v="87885.047999999981"/>
    <n v="65913.786000000036"/>
    <n v="80012.012450000024"/>
  </r>
  <r>
    <x v="171"/>
    <d v="2024-12-22T00:00:00"/>
    <s v="CUST007"/>
    <s v="David Martinez"/>
    <s v="P008"/>
    <s v="Bookshelf"/>
    <s v="Furniture"/>
    <n v="3"/>
    <n v="149.99"/>
    <x v="3"/>
    <s v="North"/>
    <s v="Standard"/>
    <d v="2021-11-22T00:00:00"/>
    <n v="449.97"/>
    <d v="2026-03-03T18:05:35"/>
    <d v="2026-03-03T18:05:35"/>
    <n v="72937.56"/>
    <n v="3.5999999999999996"/>
    <n v="539.96399999999994"/>
    <n v="87525.071999999986"/>
    <n v="65643.804000000062"/>
    <n v="79684.284300000028"/>
  </r>
  <r>
    <x v="172"/>
    <d v="2024-12-23T00:00:00"/>
    <s v="CUST021"/>
    <s v="Kevin Scott"/>
    <s v="P007"/>
    <s v="Desk"/>
    <s v="Furniture"/>
    <n v="2"/>
    <n v="299.99"/>
    <x v="2"/>
    <s v="South"/>
    <s v="Basic"/>
    <d v="2022-06-09T00:00:00"/>
    <n v="599.98"/>
    <d v="2026-03-03T18:05:35"/>
    <d v="2026-03-03T18:05:35"/>
    <n v="72487.590000000011"/>
    <n v="2.4"/>
    <n v="719.976"/>
    <n v="86985.107999999978"/>
    <n v="65238.831000000042"/>
    <n v="79192.692075000028"/>
  </r>
  <r>
    <x v="173"/>
    <d v="2024-12-28T00:00:00"/>
    <s v="CUST003"/>
    <s v="Michael Brown"/>
    <s v="P007"/>
    <s v="Desk"/>
    <s v="Furniture"/>
    <n v="2"/>
    <n v="299.99"/>
    <x v="0"/>
    <s v="West"/>
    <s v="Basic"/>
    <d v="2022-07-29T00:00:00"/>
    <n v="599.98"/>
    <d v="2026-03-03T18:05:35"/>
    <d v="2026-03-03T18:05:35"/>
    <n v="71887.610000000015"/>
    <n v="2.4"/>
    <n v="719.976"/>
    <n v="86265.131999999983"/>
    <n v="64698.849000000053"/>
    <n v="78537.213925000018"/>
  </r>
  <r>
    <x v="174"/>
    <d v="2024-12-28T00:00:00"/>
    <s v="CUST030"/>
    <s v="Helen Roberts"/>
    <s v="P006"/>
    <s v="Office Chair"/>
    <s v="Furniture"/>
    <n v="4"/>
    <n v="199.99"/>
    <x v="1"/>
    <s v="Central"/>
    <s v="Basic"/>
    <d v="2021-11-23T00:00:00"/>
    <n v="799.96"/>
    <d v="2026-03-03T18:05:35"/>
    <d v="2026-03-03T18:05:35"/>
    <n v="71287.630000000019"/>
    <n v="4.8"/>
    <n v="959.952"/>
    <n v="85545.155999999988"/>
    <n v="64158.867000000049"/>
    <n v="77881.735775000023"/>
  </r>
  <r>
    <x v="175"/>
    <d v="2024-12-29T00:00:00"/>
    <s v="CUST009"/>
    <s v="Robert Thomas"/>
    <s v="P010"/>
    <s v="Keyboard"/>
    <s v="Electronics"/>
    <n v="1"/>
    <n v="89.99"/>
    <x v="1"/>
    <s v="South"/>
    <s v="Premium"/>
    <d v="2022-01-30T00:00:00"/>
    <n v="89.99"/>
    <d v="2026-03-03T18:05:35"/>
    <d v="2026-03-03T18:05:35"/>
    <n v="70487.670000000013"/>
    <n v="1.2"/>
    <n v="107.98799999999999"/>
    <n v="84585.203999999969"/>
    <n v="63438.903000000057"/>
    <n v="77007.779475000032"/>
  </r>
  <r>
    <x v="176"/>
    <d v="2024-12-29T00:00:00"/>
    <s v="CUST036"/>
    <s v="Nancy Collins"/>
    <s v="P008"/>
    <s v="Bookshelf"/>
    <s v="Furniture"/>
    <n v="5"/>
    <n v="149.99"/>
    <x v="0"/>
    <s v="Central"/>
    <s v="Premium"/>
    <d v="2024-02-25T00:00:00"/>
    <n v="749.95"/>
    <d v="2026-03-03T18:05:35"/>
    <d v="2026-03-03T18:05:35"/>
    <n v="70397.680000000008"/>
    <n v="6"/>
    <n v="899.94"/>
    <n v="84477.215999999986"/>
    <n v="63357.912000000048"/>
    <n v="76909.46540000003"/>
  </r>
  <r>
    <x v="177"/>
    <d v="2024-12-31T00:00:00"/>
    <s v="CUST025"/>
    <s v="Mark Carter"/>
    <s v="P001"/>
    <s v="Laptop"/>
    <s v="Electronics"/>
    <n v="1"/>
    <n v="899.99"/>
    <x v="2"/>
    <s v="North"/>
    <s v="Premium"/>
    <d v="2023-05-04T00:00:00"/>
    <n v="899.99"/>
    <d v="2026-03-03T18:05:35"/>
    <d v="2026-03-03T18:05:35"/>
    <n v="69647.73000000001"/>
    <n v="1.2"/>
    <n v="1079.9880000000001"/>
    <n v="83577.276000000013"/>
    <n v="62682.957000000046"/>
    <n v="76090.14502500002"/>
  </r>
  <r>
    <x v="178"/>
    <d v="2025-01-03T00:00:00"/>
    <s v="CUST019"/>
    <s v="Daniel King"/>
    <s v="P010"/>
    <s v="Keyboard"/>
    <s v="Electronics"/>
    <n v="2"/>
    <n v="89.99"/>
    <x v="1"/>
    <s v="South"/>
    <s v="Premium"/>
    <d v="2022-01-03T00:00:00"/>
    <n v="179.98"/>
    <d v="2026-03-03T18:05:35"/>
    <d v="2026-03-03T18:05:35"/>
    <n v="68747.74000000002"/>
    <n v="2.4"/>
    <n v="215.97599999999997"/>
    <n v="82497.288"/>
    <n v="61872.966000000051"/>
    <n v="75106.905950000029"/>
  </r>
  <r>
    <x v="179"/>
    <d v="2025-01-04T00:00:00"/>
    <s v="CUST037"/>
    <s v="Arthur Edwards"/>
    <s v="P001"/>
    <s v="Laptop"/>
    <s v="Electronics"/>
    <n v="1"/>
    <n v="899.99"/>
    <x v="2"/>
    <s v="North"/>
    <s v="Standard"/>
    <d v="2022-07-10T00:00:00"/>
    <n v="899.99"/>
    <d v="2026-03-03T18:05:35"/>
    <d v="2026-03-03T18:05:35"/>
    <n v="68567.760000000009"/>
    <n v="1.2"/>
    <n v="1079.9880000000001"/>
    <n v="82281.312000000005"/>
    <n v="61710.984000000048"/>
    <n v="74910.277800000025"/>
  </r>
  <r>
    <x v="180"/>
    <d v="2025-01-06T00:00:00"/>
    <s v="CUST006"/>
    <s v="Lisa Anderson"/>
    <s v="P003"/>
    <s v="Headphones"/>
    <s v="Electronics"/>
    <n v="5"/>
    <n v="149.99"/>
    <x v="2"/>
    <s v="East"/>
    <s v="Premium"/>
    <d v="2022-09-20T00:00:00"/>
    <n v="749.95"/>
    <d v="2026-03-03T18:05:35"/>
    <d v="2026-03-03T18:05:35"/>
    <n v="67667.77"/>
    <n v="6"/>
    <n v="899.94"/>
    <n v="81201.323999999993"/>
    <n v="60900.993000000053"/>
    <n v="73927.038725000035"/>
  </r>
  <r>
    <x v="181"/>
    <d v="2025-01-06T00:00:00"/>
    <s v="CUST003"/>
    <s v="Michael Brown"/>
    <s v="P007"/>
    <s v="Desk"/>
    <s v="Furniture"/>
    <n v="3"/>
    <n v="299.99"/>
    <x v="0"/>
    <s v="South"/>
    <s v="Standard"/>
    <d v="2021-08-14T00:00:00"/>
    <n v="899.97"/>
    <d v="2026-03-03T18:05:35"/>
    <d v="2026-03-03T18:05:35"/>
    <n v="66917.820000000007"/>
    <n v="3.5999999999999996"/>
    <n v="1079.9639999999999"/>
    <n v="80301.383999999991"/>
    <n v="60226.038000000051"/>
    <n v="73107.718350000025"/>
  </r>
  <r>
    <x v="182"/>
    <d v="2025-01-09T00:00:00"/>
    <s v="CUST026"/>
    <s v="Karen Hill"/>
    <s v="P002"/>
    <s v="Smartphone"/>
    <s v="Electronics"/>
    <n v="3"/>
    <n v="699.99"/>
    <x v="1"/>
    <s v="Central"/>
    <s v="Premium"/>
    <d v="2023-06-28T00:00:00"/>
    <n v="2099.9699999999998"/>
    <d v="2026-03-03T18:05:35"/>
    <d v="2026-03-03T18:05:35"/>
    <n v="66017.850000000006"/>
    <n v="3.5999999999999996"/>
    <n v="2519.9639999999999"/>
    <n v="79221.419999999984"/>
    <n v="59416.065000000053"/>
    <n v="72124.501125000024"/>
  </r>
  <r>
    <x v="183"/>
    <d v="2025-01-10T00:00:00"/>
    <s v="CUST036"/>
    <s v="Nancy Collins"/>
    <s v="P006"/>
    <s v="Office Chair"/>
    <s v="Furniture"/>
    <n v="5"/>
    <n v="199.99"/>
    <x v="2"/>
    <s v="Central"/>
    <s v="Standard"/>
    <d v="2022-03-13T00:00:00"/>
    <n v="999.95"/>
    <d v="2026-03-03T18:05:35"/>
    <d v="2026-03-03T18:05:35"/>
    <n v="63917.880000000019"/>
    <n v="6"/>
    <n v="1199.94"/>
    <n v="76701.456000000006"/>
    <n v="57526.092000000055"/>
    <n v="69830.283900000024"/>
  </r>
  <r>
    <x v="184"/>
    <d v="2025-01-10T00:00:00"/>
    <s v="CUST048"/>
    <s v="Virginia Sanders"/>
    <s v="P009"/>
    <s v="Monitor"/>
    <s v="Electronics"/>
    <n v="5"/>
    <n v="249.99"/>
    <x v="1"/>
    <s v="South"/>
    <s v="Basic"/>
    <d v="2024-02-08T00:00:00"/>
    <n v="1249.95"/>
    <d v="2026-03-03T18:05:35"/>
    <d v="2026-03-03T18:05:35"/>
    <n v="62917.930000000022"/>
    <n v="6"/>
    <n v="1499.94"/>
    <n v="75501.515999999974"/>
    <n v="56626.137000000039"/>
    <n v="68737.838525000014"/>
  </r>
  <r>
    <x v="185"/>
    <d v="2025-01-11T00:00:00"/>
    <s v="CUST031"/>
    <s v="Steven Turner"/>
    <s v="P003"/>
    <s v="Headphones"/>
    <s v="Electronics"/>
    <n v="4"/>
    <n v="149.99"/>
    <x v="3"/>
    <s v="East"/>
    <s v="Standard"/>
    <d v="2021-12-06T00:00:00"/>
    <n v="599.96"/>
    <d v="2026-03-03T18:05:35"/>
    <d v="2026-03-03T18:05:35"/>
    <n v="61667.980000000032"/>
    <n v="4.8"/>
    <n v="719.952"/>
    <n v="74001.575999999972"/>
    <n v="55501.182000000037"/>
    <n v="67372.268150000018"/>
  </r>
  <r>
    <x v="186"/>
    <d v="2025-01-11T00:00:00"/>
    <s v="CUST038"/>
    <s v="Michelle Rogers"/>
    <s v="P002"/>
    <s v="Smartphone"/>
    <s v="Electronics"/>
    <n v="3"/>
    <n v="699.99"/>
    <x v="0"/>
    <s v="North"/>
    <s v="Premium"/>
    <d v="2022-02-10T00:00:00"/>
    <n v="2099.9699999999998"/>
    <d v="2026-03-03T18:05:35"/>
    <d v="2026-03-03T18:05:35"/>
    <n v="61068.020000000033"/>
    <n v="3.5999999999999996"/>
    <n v="2519.9639999999999"/>
    <n v="73281.623999999982"/>
    <n v="54961.21800000003"/>
    <n v="66716.811850000027"/>
  </r>
  <r>
    <x v="187"/>
    <d v="2025-01-13T00:00:00"/>
    <s v="CUST045"/>
    <s v="Douglas Watson"/>
    <s v="P004"/>
    <s v="Coffee Maker"/>
    <s v="Appliances"/>
    <n v="1"/>
    <n v="79.989999999999995"/>
    <x v="1"/>
    <s v="South"/>
    <s v="Basic"/>
    <d v="2024-01-31T00:00:00"/>
    <n v="79.989999999999995"/>
    <d v="2026-03-03T18:05:35"/>
    <d v="2026-03-03T18:05:35"/>
    <n v="58968.050000000017"/>
    <n v="1.2"/>
    <n v="95.987999999999985"/>
    <n v="70761.66"/>
    <n v="53071.245000000017"/>
    <n v="64422.59462500002"/>
  </r>
  <r>
    <x v="188"/>
    <d v="2025-01-13T00:00:00"/>
    <s v="CUST025"/>
    <s v="Mark Carter"/>
    <s v="P007"/>
    <s v="Desk"/>
    <s v="Furniture"/>
    <n v="1"/>
    <n v="299.99"/>
    <x v="1"/>
    <s v="North"/>
    <s v="Basic"/>
    <d v="2021-08-28T00:00:00"/>
    <n v="299.99"/>
    <d v="2026-03-03T18:05:35"/>
    <d v="2026-03-03T18:05:35"/>
    <n v="58888.060000000019"/>
    <n v="1.2"/>
    <n v="359.988"/>
    <n v="70665.671999999991"/>
    <n v="52999.254000000023"/>
    <n v="64335.205550000021"/>
  </r>
  <r>
    <x v="189"/>
    <d v="2025-01-14T00:00:00"/>
    <s v="CUST028"/>
    <s v="Betty Campbell"/>
    <s v="P009"/>
    <s v="Monitor"/>
    <s v="Electronics"/>
    <n v="4"/>
    <n v="249.99"/>
    <x v="1"/>
    <s v="North"/>
    <s v="Premium"/>
    <d v="2021-09-21T00:00:00"/>
    <n v="999.96"/>
    <d v="2026-03-03T18:05:35"/>
    <d v="2026-03-03T18:05:35"/>
    <n v="58588.070000000014"/>
    <n v="4.8"/>
    <n v="1199.952"/>
    <n v="70305.684000000008"/>
    <n v="52729.263000000014"/>
    <n v="64007.466475000016"/>
  </r>
  <r>
    <x v="190"/>
    <d v="2025-01-14T00:00:00"/>
    <s v="CUST030"/>
    <s v="Helen Roberts"/>
    <s v="P003"/>
    <s v="Headphones"/>
    <s v="Electronics"/>
    <n v="2"/>
    <n v="149.99"/>
    <x v="0"/>
    <s v="North"/>
    <s v="Standard"/>
    <d v="2022-12-18T00:00:00"/>
    <n v="299.98"/>
    <d v="2026-03-03T18:05:35"/>
    <d v="2026-03-03T18:05:35"/>
    <n v="57588.110000000015"/>
    <n v="2.4"/>
    <n v="359.976"/>
    <n v="69105.731999999989"/>
    <n v="51829.299000000021"/>
    <n v="62915.01017500001"/>
  </r>
  <r>
    <x v="191"/>
    <d v="2025-01-14T00:00:00"/>
    <s v="CUST032"/>
    <s v="Sandra Phillips"/>
    <s v="P007"/>
    <s v="Desk"/>
    <s v="Furniture"/>
    <n v="3"/>
    <n v="299.99"/>
    <x v="1"/>
    <s v="South"/>
    <s v="Basic"/>
    <d v="2023-10-05T00:00:00"/>
    <n v="899.97"/>
    <d v="2026-03-03T18:05:35"/>
    <d v="2026-03-03T18:05:35"/>
    <n v="57288.130000000019"/>
    <n v="3.5999999999999996"/>
    <n v="1079.9639999999999"/>
    <n v="68745.756000000023"/>
    <n v="51559.317000000017"/>
    <n v="62587.282025000008"/>
  </r>
  <r>
    <x v="192"/>
    <d v="2025-01-16T00:00:00"/>
    <s v="CUST039"/>
    <s v="Lawrence Reed"/>
    <s v="P006"/>
    <s v="Office Chair"/>
    <s v="Furniture"/>
    <n v="4"/>
    <n v="199.99"/>
    <x v="3"/>
    <s v="South"/>
    <s v="Standard"/>
    <d v="2021-12-14T00:00:00"/>
    <n v="799.96"/>
    <d v="2026-03-03T18:05:35"/>
    <d v="2026-03-03T18:05:35"/>
    <n v="56388.160000000018"/>
    <n v="4.8"/>
    <n v="959.952"/>
    <n v="67665.792000000016"/>
    <n v="50749.344000000019"/>
    <n v="61604.0648"/>
  </r>
  <r>
    <x v="193"/>
    <d v="2025-01-16T00:00:00"/>
    <s v="CUST016"/>
    <s v="Elizabeth Hall"/>
    <s v="P007"/>
    <s v="Desk"/>
    <s v="Furniture"/>
    <n v="5"/>
    <n v="299.99"/>
    <x v="3"/>
    <s v="Central"/>
    <s v="Basic"/>
    <d v="2021-08-23T00:00:00"/>
    <n v="1499.95"/>
    <d v="2026-03-03T18:05:35"/>
    <d v="2026-03-03T18:05:35"/>
    <n v="55588.200000000019"/>
    <n v="6"/>
    <n v="1799.94"/>
    <n v="66705.840000000026"/>
    <n v="50029.380000000012"/>
    <n v="60730.108500000002"/>
  </r>
  <r>
    <x v="194"/>
    <d v="2025-01-16T00:00:00"/>
    <s v="CUST009"/>
    <s v="Robert Thomas"/>
    <s v="P008"/>
    <s v="Bookshelf"/>
    <s v="Furniture"/>
    <n v="3"/>
    <n v="149.99"/>
    <x v="1"/>
    <s v="East"/>
    <s v="Standard"/>
    <d v="2021-07-18T00:00:00"/>
    <n v="449.97"/>
    <d v="2026-03-03T18:05:35"/>
    <d v="2026-03-03T18:05:35"/>
    <n v="54088.250000000015"/>
    <n v="3.5999999999999996"/>
    <n v="539.96399999999994"/>
    <n v="64905.900000000016"/>
    <n v="48679.42500000001"/>
    <n v="59091.413125000006"/>
  </r>
  <r>
    <x v="195"/>
    <d v="2025-01-19T00:00:00"/>
    <s v="CUST006"/>
    <s v="Lisa Anderson"/>
    <s v="P005"/>
    <s v="Blender"/>
    <s v="Appliances"/>
    <n v="5"/>
    <n v="59.99"/>
    <x v="3"/>
    <s v="East"/>
    <s v="Basic"/>
    <d v="2022-03-22T00:00:00"/>
    <n v="299.95"/>
    <d v="2026-03-03T18:05:35"/>
    <d v="2026-03-03T18:05:35"/>
    <n v="53638.280000000021"/>
    <n v="6"/>
    <n v="359.94"/>
    <n v="64365.936000000009"/>
    <n v="48274.452000000012"/>
    <n v="58599.820900000006"/>
  </r>
  <r>
    <x v="196"/>
    <d v="2025-01-25T00:00:00"/>
    <s v="CUST022"/>
    <s v="Susan Green"/>
    <s v="P005"/>
    <s v="Blender"/>
    <s v="Appliances"/>
    <n v="4"/>
    <n v="59.99"/>
    <x v="3"/>
    <s v="East"/>
    <s v="Standard"/>
    <d v="2022-01-03T00:00:00"/>
    <n v="239.96"/>
    <d v="2026-03-03T18:05:35"/>
    <d v="2026-03-03T18:05:35"/>
    <n v="53338.330000000016"/>
    <n v="4.8"/>
    <n v="287.952"/>
    <n v="64005.996000000006"/>
    <n v="48004.49700000001"/>
    <n v="58272.125525000003"/>
  </r>
  <r>
    <x v="197"/>
    <d v="2025-01-26T00:00:00"/>
    <s v="CUST024"/>
    <s v="Dorothy Nelson"/>
    <s v="P009"/>
    <s v="Monitor"/>
    <s v="Electronics"/>
    <n v="4"/>
    <n v="249.99"/>
    <x v="3"/>
    <s v="Central"/>
    <s v="Premium"/>
    <d v="2023-10-18T00:00:00"/>
    <n v="999.96"/>
    <d v="2026-03-03T18:05:35"/>
    <d v="2026-03-03T18:05:35"/>
    <n v="53098.370000000017"/>
    <n v="4.8"/>
    <n v="1199.952"/>
    <n v="63718.044000000009"/>
    <n v="47788.533000000018"/>
    <n v="58009.969225000008"/>
  </r>
  <r>
    <x v="198"/>
    <d v="2025-01-29T00:00:00"/>
    <s v="CUST011"/>
    <s v="William White"/>
    <s v="P001"/>
    <s v="Laptop"/>
    <s v="Electronics"/>
    <n v="4"/>
    <n v="899.99"/>
    <x v="2"/>
    <s v="Central"/>
    <s v="Basic"/>
    <d v="2022-06-22T00:00:00"/>
    <n v="3599.96"/>
    <d v="2026-03-03T18:05:35"/>
    <d v="2026-03-03T18:05:35"/>
    <n v="52098.410000000018"/>
    <n v="4.8"/>
    <n v="4319.9520000000002"/>
    <n v="62518.092000000011"/>
    <n v="46888.56900000001"/>
    <n v="56917.512925000003"/>
  </r>
  <r>
    <x v="199"/>
    <d v="2025-01-29T00:00:00"/>
    <s v="CUST025"/>
    <s v="Mark Carter"/>
    <s v="P007"/>
    <s v="Desk"/>
    <s v="Furniture"/>
    <n v="3"/>
    <n v="299.99"/>
    <x v="3"/>
    <s v="West"/>
    <s v="Standard"/>
    <d v="2023-01-26T00:00:00"/>
    <n v="899.97"/>
    <d v="2026-03-03T18:05:35"/>
    <d v="2026-03-03T18:05:35"/>
    <n v="48498.450000000019"/>
    <n v="3.5999999999999996"/>
    <n v="1079.9639999999999"/>
    <n v="58198.14"/>
    <n v="43648.605000000003"/>
    <n v="52984.55662499999"/>
  </r>
  <r>
    <x v="200"/>
    <d v="2025-01-29T00:00:00"/>
    <s v="CUST045"/>
    <s v="Douglas Watson"/>
    <s v="P002"/>
    <s v="Smartphone"/>
    <s v="Electronics"/>
    <n v="2"/>
    <n v="699.99"/>
    <x v="3"/>
    <s v="Central"/>
    <s v="Premium"/>
    <d v="2022-04-30T00:00:00"/>
    <n v="1399.98"/>
    <d v="2026-03-03T18:05:35"/>
    <d v="2026-03-03T18:05:35"/>
    <n v="47598.48000000001"/>
    <n v="2.4"/>
    <n v="1679.9759999999999"/>
    <n v="57118.175999999999"/>
    <n v="42838.632000000005"/>
    <n v="52001.33939999999"/>
  </r>
  <r>
    <x v="201"/>
    <d v="2025-01-31T00:00:00"/>
    <s v="CUST026"/>
    <s v="Karen Hill"/>
    <s v="P002"/>
    <s v="Smartphone"/>
    <s v="Electronics"/>
    <n v="4"/>
    <n v="699.99"/>
    <x v="3"/>
    <s v="West"/>
    <s v="Premium"/>
    <d v="2022-05-11T00:00:00"/>
    <n v="2799.96"/>
    <d v="2026-03-03T18:05:35"/>
    <d v="2026-03-03T18:05:35"/>
    <n v="46198.500000000007"/>
    <n v="4.8"/>
    <n v="3359.9519999999998"/>
    <n v="55438.2"/>
    <n v="41578.65"/>
    <n v="50471.861249999994"/>
  </r>
  <r>
    <x v="202"/>
    <d v="2025-01-31T00:00:00"/>
    <s v="CUST029"/>
    <s v="Edward Mitchell"/>
    <s v="P010"/>
    <s v="Keyboard"/>
    <s v="Electronics"/>
    <n v="2"/>
    <n v="89.99"/>
    <x v="3"/>
    <s v="South"/>
    <s v="Basic"/>
    <d v="2022-08-04T00:00:00"/>
    <n v="179.98"/>
    <d v="2026-03-03T18:05:35"/>
    <d v="2026-03-03T18:05:35"/>
    <n v="43398.540000000008"/>
    <n v="2.4"/>
    <n v="215.97599999999997"/>
    <n v="52078.248"/>
    <n v="39058.686000000009"/>
    <n v="47412.904949999989"/>
  </r>
  <r>
    <x v="203"/>
    <d v="2025-01-31T00:00:00"/>
    <s v="CUST003"/>
    <s v="Michael Brown"/>
    <s v="P010"/>
    <s v="Keyboard"/>
    <s v="Electronics"/>
    <n v="3"/>
    <n v="89.99"/>
    <x v="3"/>
    <s v="South"/>
    <s v="Premium"/>
    <d v="2024-01-16T00:00:00"/>
    <n v="269.97000000000003"/>
    <d v="2026-03-03T18:05:35"/>
    <d v="2026-03-03T18:05:35"/>
    <n v="43218.560000000012"/>
    <n v="3.5999999999999996"/>
    <n v="323.96399999999994"/>
    <n v="51862.272000000004"/>
    <n v="38896.704000000005"/>
    <n v="47216.276799999985"/>
  </r>
  <r>
    <x v="204"/>
    <d v="2025-02-04T00:00:00"/>
    <s v="CUST037"/>
    <s v="Arthur Edwards"/>
    <s v="P005"/>
    <s v="Blender"/>
    <s v="Appliances"/>
    <n v="1"/>
    <n v="59.99"/>
    <x v="3"/>
    <s v="Central"/>
    <s v="Standard"/>
    <d v="2023-04-29T00:00:00"/>
    <n v="59.99"/>
    <d v="2026-03-03T18:05:35"/>
    <d v="2026-03-03T18:05:35"/>
    <n v="42948.590000000011"/>
    <n v="1.2"/>
    <n v="71.988"/>
    <n v="51538.308000000005"/>
    <n v="38653.731000000007"/>
    <n v="46921.334574999986"/>
  </r>
  <r>
    <x v="205"/>
    <d v="2025-02-07T00:00:00"/>
    <s v="CUST042"/>
    <s v="Ruth Brooks"/>
    <s v="P008"/>
    <s v="Bookshelf"/>
    <s v="Furniture"/>
    <n v="3"/>
    <n v="149.99"/>
    <x v="3"/>
    <s v="North"/>
    <s v="Premium"/>
    <d v="2022-01-03T00:00:00"/>
    <n v="449.97"/>
    <d v="2026-03-03T18:05:35"/>
    <d v="2026-03-03T18:05:35"/>
    <n v="42888.600000000013"/>
    <n v="3.5999999999999996"/>
    <n v="539.96399999999994"/>
    <n v="51466.320000000007"/>
    <n v="38599.740000000005"/>
    <n v="46855.795499999986"/>
  </r>
  <r>
    <x v="206"/>
    <d v="2025-02-07T00:00:00"/>
    <s v="CUST048"/>
    <s v="Virginia Sanders"/>
    <s v="P007"/>
    <s v="Desk"/>
    <s v="Furniture"/>
    <n v="5"/>
    <n v="299.99"/>
    <x v="1"/>
    <s v="South"/>
    <s v="Basic"/>
    <d v="2023-02-02T00:00:00"/>
    <n v="1499.95"/>
    <d v="2026-03-03T18:05:35"/>
    <d v="2026-03-03T18:05:35"/>
    <n v="42438.630000000012"/>
    <n v="6"/>
    <n v="1799.94"/>
    <n v="50926.355999999992"/>
    <n v="38194.767000000007"/>
    <n v="46364.203274999993"/>
  </r>
  <r>
    <x v="207"/>
    <d v="2025-02-08T00:00:00"/>
    <s v="CUST040"/>
    <s v="Sharon Butler"/>
    <s v="P005"/>
    <s v="Blender"/>
    <s v="Appliances"/>
    <n v="5"/>
    <n v="59.99"/>
    <x v="3"/>
    <s v="Central"/>
    <s v="Standard"/>
    <d v="2023-09-08T00:00:00"/>
    <n v="299.95"/>
    <d v="2026-03-03T18:05:35"/>
    <d v="2026-03-03T18:05:35"/>
    <n v="40938.680000000015"/>
    <n v="6"/>
    <n v="359.94"/>
    <n v="49126.415999999997"/>
    <n v="36844.812000000005"/>
    <n v="44725.507899999997"/>
  </r>
  <r>
    <x v="208"/>
    <d v="2025-02-13T00:00:00"/>
    <s v="CUST036"/>
    <s v="Nancy Collins"/>
    <s v="P004"/>
    <s v="Coffee Maker"/>
    <s v="Appliances"/>
    <n v="3"/>
    <n v="79.989999999999995"/>
    <x v="0"/>
    <s v="East"/>
    <s v="Premium"/>
    <d v="2021-08-28T00:00:00"/>
    <n v="239.97"/>
    <d v="2026-03-03T18:05:35"/>
    <d v="2026-03-03T18:05:35"/>
    <n v="40638.730000000018"/>
    <n v="3.5999999999999996"/>
    <n v="287.96399999999994"/>
    <n v="48766.475999999995"/>
    <n v="36574.857000000004"/>
    <n v="44397.812524999994"/>
  </r>
  <r>
    <x v="209"/>
    <d v="2025-02-16T00:00:00"/>
    <s v="CUST021"/>
    <s v="Kevin Scott"/>
    <s v="P006"/>
    <s v="Office Chair"/>
    <s v="Furniture"/>
    <n v="3"/>
    <n v="199.99"/>
    <x v="0"/>
    <s v="Central"/>
    <s v="Basic"/>
    <d v="2022-06-23T00:00:00"/>
    <n v="599.97"/>
    <d v="2026-03-03T18:05:35"/>
    <d v="2026-03-03T18:05:35"/>
    <n v="40398.760000000017"/>
    <n v="3.5999999999999996"/>
    <n v="719.96399999999994"/>
    <n v="48478.511999999995"/>
    <n v="36358.883999999998"/>
    <n v="44135.645299999996"/>
  </r>
  <r>
    <x v="210"/>
    <d v="2025-02-16T00:00:00"/>
    <s v="CUST023"/>
    <s v="Paul Baker"/>
    <s v="P010"/>
    <s v="Keyboard"/>
    <s v="Electronics"/>
    <n v="2"/>
    <n v="89.99"/>
    <x v="2"/>
    <s v="Central"/>
    <s v="Basic"/>
    <d v="2023-11-27T00:00:00"/>
    <n v="179.98"/>
    <d v="2026-03-03T18:05:35"/>
    <d v="2026-03-03T18:05:35"/>
    <n v="39798.790000000015"/>
    <n v="2.4"/>
    <n v="215.97599999999997"/>
    <n v="47758.547999999995"/>
    <n v="35818.911"/>
    <n v="43480.178074999996"/>
  </r>
  <r>
    <x v="211"/>
    <d v="2025-02-17T00:00:00"/>
    <s v="CUST015"/>
    <s v="Richard Lee"/>
    <s v="P008"/>
    <s v="Bookshelf"/>
    <s v="Furniture"/>
    <n v="2"/>
    <n v="149.99"/>
    <x v="0"/>
    <s v="South"/>
    <s v="Premium"/>
    <d v="2022-06-16T00:00:00"/>
    <n v="299.98"/>
    <d v="2026-03-03T18:05:35"/>
    <d v="2026-03-03T18:05:35"/>
    <n v="39618.810000000012"/>
    <n v="2.4"/>
    <n v="359.976"/>
    <n v="47542.572"/>
    <n v="35656.929000000004"/>
    <n v="43283.549924999992"/>
  </r>
  <r>
    <x v="212"/>
    <d v="2025-02-19T00:00:00"/>
    <s v="CUST029"/>
    <s v="Edward Mitchell"/>
    <s v="P002"/>
    <s v="Smartphone"/>
    <s v="Electronics"/>
    <n v="5"/>
    <n v="699.99"/>
    <x v="2"/>
    <s v="South"/>
    <s v="Premium"/>
    <d v="2024-03-01T00:00:00"/>
    <n v="3499.95"/>
    <d v="2026-03-03T18:05:35"/>
    <d v="2026-03-03T18:05:35"/>
    <n v="39318.830000000009"/>
    <n v="6"/>
    <n v="4199.9400000000005"/>
    <n v="47182.595999999998"/>
    <n v="35386.947"/>
    <n v="42955.821774999997"/>
  </r>
  <r>
    <x v="213"/>
    <d v="2025-02-19T00:00:00"/>
    <s v="CUST003"/>
    <s v="Michael Brown"/>
    <s v="P008"/>
    <s v="Bookshelf"/>
    <s v="Furniture"/>
    <n v="3"/>
    <n v="149.99"/>
    <x v="2"/>
    <s v="Central"/>
    <s v="Standard"/>
    <d v="2022-03-13T00:00:00"/>
    <n v="449.97"/>
    <d v="2026-03-03T18:05:35"/>
    <d v="2026-03-03T18:05:35"/>
    <n v="35818.880000000005"/>
    <n v="3.5999999999999996"/>
    <n v="539.96399999999994"/>
    <n v="42982.656000000003"/>
    <n v="32236.992000000006"/>
    <n v="39132.126400000001"/>
  </r>
  <r>
    <x v="214"/>
    <d v="2025-02-20T00:00:00"/>
    <s v="CUST018"/>
    <s v="Barbara Young"/>
    <s v="P001"/>
    <s v="Laptop"/>
    <s v="Electronics"/>
    <n v="3"/>
    <n v="899.99"/>
    <x v="0"/>
    <s v="East"/>
    <s v="Standard"/>
    <d v="2022-02-21T00:00:00"/>
    <n v="2699.97"/>
    <d v="2026-03-03T18:05:35"/>
    <d v="2026-03-03T18:05:35"/>
    <n v="35368.910000000011"/>
    <n v="3.5999999999999996"/>
    <n v="3239.9639999999995"/>
    <n v="42442.69200000001"/>
    <n v="31832.019000000008"/>
    <n v="38640.534175000001"/>
  </r>
  <r>
    <x v="215"/>
    <d v="2025-02-20T00:00:00"/>
    <s v="CUST033"/>
    <s v="Frank Torres"/>
    <s v="P006"/>
    <s v="Office Chair"/>
    <s v="Furniture"/>
    <n v="3"/>
    <n v="199.99"/>
    <x v="0"/>
    <s v="West"/>
    <s v="Premium"/>
    <d v="2022-09-19T00:00:00"/>
    <n v="599.97"/>
    <d v="2026-03-03T18:05:35"/>
    <d v="2026-03-03T18:05:35"/>
    <n v="32668.94000000001"/>
    <n v="3.5999999999999996"/>
    <n v="719.96399999999994"/>
    <n v="39202.727999999996"/>
    <n v="29402.046000000009"/>
    <n v="35690.81695"/>
  </r>
  <r>
    <x v="216"/>
    <d v="2025-02-22T00:00:00"/>
    <s v="CUST017"/>
    <s v="Charles Allen"/>
    <s v="P007"/>
    <s v="Desk"/>
    <s v="Furniture"/>
    <n v="5"/>
    <n v="299.99"/>
    <x v="0"/>
    <s v="West"/>
    <s v="Standard"/>
    <d v="2023-08-04T00:00:00"/>
    <n v="1499.95"/>
    <d v="2026-03-03T18:05:35"/>
    <d v="2026-03-03T18:05:35"/>
    <n v="32068.970000000008"/>
    <n v="6"/>
    <n v="1799.94"/>
    <n v="38482.763999999996"/>
    <n v="28862.073000000011"/>
    <n v="35035.349725"/>
  </r>
  <r>
    <x v="217"/>
    <d v="2025-02-22T00:00:00"/>
    <s v="CUST040"/>
    <s v="Sharon Butler"/>
    <s v="P002"/>
    <s v="Smartphone"/>
    <s v="Electronics"/>
    <n v="1"/>
    <n v="699.99"/>
    <x v="2"/>
    <s v="West"/>
    <s v="Basic"/>
    <d v="2023-01-08T00:00:00"/>
    <n v="699.99"/>
    <d v="2026-03-03T18:05:35"/>
    <d v="2026-03-03T18:05:35"/>
    <n v="30569.020000000004"/>
    <n v="1.2"/>
    <n v="839.98799999999994"/>
    <n v="36682.824000000001"/>
    <n v="27512.118000000009"/>
    <n v="33396.654349999997"/>
  </r>
  <r>
    <x v="218"/>
    <d v="2025-02-23T00:00:00"/>
    <s v="CUST042"/>
    <s v="Ruth Brooks"/>
    <s v="P002"/>
    <s v="Smartphone"/>
    <s v="Electronics"/>
    <n v="1"/>
    <n v="699.99"/>
    <x v="0"/>
    <s v="North"/>
    <s v="Premium"/>
    <d v="2022-01-22T00:00:00"/>
    <n v="699.99"/>
    <d v="2026-03-03T18:05:35"/>
    <d v="2026-03-03T18:05:35"/>
    <n v="29869.030000000002"/>
    <n v="1.2"/>
    <n v="839.98799999999994"/>
    <n v="35842.836000000003"/>
    <n v="26882.127000000008"/>
    <n v="32631.915274999999"/>
  </r>
  <r>
    <x v="219"/>
    <d v="2025-02-23T00:00:00"/>
    <s v="CUST037"/>
    <s v="Arthur Edwards"/>
    <s v="P008"/>
    <s v="Bookshelf"/>
    <s v="Furniture"/>
    <n v="4"/>
    <n v="149.99"/>
    <x v="2"/>
    <s v="North"/>
    <s v="Premium"/>
    <d v="2021-08-04T00:00:00"/>
    <n v="599.96"/>
    <d v="2026-03-03T18:05:35"/>
    <d v="2026-03-03T18:05:35"/>
    <n v="29169.040000000005"/>
    <n v="4.8"/>
    <n v="719.952"/>
    <n v="35002.847999999998"/>
    <n v="26252.136000000013"/>
    <n v="31867.176200000002"/>
  </r>
  <r>
    <x v="220"/>
    <d v="2025-02-23T00:00:00"/>
    <s v="CUST016"/>
    <s v="Elizabeth Hall"/>
    <s v="P010"/>
    <s v="Keyboard"/>
    <s v="Electronics"/>
    <n v="5"/>
    <n v="89.99"/>
    <x v="2"/>
    <s v="West"/>
    <s v="Premium"/>
    <d v="2023-08-02T00:00:00"/>
    <n v="449.95"/>
    <d v="2026-03-03T18:05:35"/>
    <d v="2026-03-03T18:05:35"/>
    <n v="28569.080000000005"/>
    <n v="6"/>
    <n v="539.93999999999994"/>
    <n v="34282.896000000001"/>
    <n v="25712.172000000013"/>
    <n v="31211.7199"/>
  </r>
  <r>
    <x v="221"/>
    <d v="2025-02-24T00:00:00"/>
    <s v="CUST031"/>
    <s v="Steven Turner"/>
    <s v="P006"/>
    <s v="Office Chair"/>
    <s v="Furniture"/>
    <n v="2"/>
    <n v="199.99"/>
    <x v="0"/>
    <s v="Central"/>
    <s v="Premium"/>
    <d v="2022-01-12T00:00:00"/>
    <n v="399.98"/>
    <d v="2026-03-03T18:05:35"/>
    <d v="2026-03-03T18:05:35"/>
    <n v="28119.130000000005"/>
    <n v="2.4"/>
    <n v="479.976"/>
    <n v="33742.956000000006"/>
    <n v="25307.217000000011"/>
    <n v="30720.149525000001"/>
  </r>
  <r>
    <x v="222"/>
    <d v="2025-02-27T00:00:00"/>
    <s v="CUST015"/>
    <s v="Richard Lee"/>
    <s v="P005"/>
    <s v="Blender"/>
    <s v="Appliances"/>
    <n v="4"/>
    <n v="59.99"/>
    <x v="0"/>
    <s v="West"/>
    <s v="Standard"/>
    <d v="2023-05-24T00:00:00"/>
    <n v="239.96"/>
    <d v="2026-03-03T18:05:35"/>
    <d v="2026-03-03T18:05:35"/>
    <n v="27719.150000000005"/>
    <n v="4.8"/>
    <n v="287.952"/>
    <n v="33262.980000000003"/>
    <n v="24947.235000000008"/>
    <n v="30283.171375000002"/>
  </r>
  <r>
    <x v="223"/>
    <d v="2025-02-27T00:00:00"/>
    <s v="CUST048"/>
    <s v="Virginia Sanders"/>
    <s v="P007"/>
    <s v="Desk"/>
    <s v="Furniture"/>
    <n v="2"/>
    <n v="299.99"/>
    <x v="2"/>
    <s v="South"/>
    <s v="Basic"/>
    <d v="2022-01-15T00:00:00"/>
    <n v="599.98"/>
    <d v="2026-03-03T18:05:35"/>
    <d v="2026-03-03T18:05:35"/>
    <n v="27479.190000000002"/>
    <n v="2.4"/>
    <n v="719.976"/>
    <n v="32975.027999999998"/>
    <n v="24731.271000000008"/>
    <n v="30021.015074999999"/>
  </r>
  <r>
    <x v="224"/>
    <d v="2025-03-02T00:00:00"/>
    <s v="CUST017"/>
    <s v="Charles Allen"/>
    <s v="P008"/>
    <s v="Bookshelf"/>
    <s v="Furniture"/>
    <n v="2"/>
    <n v="149.99"/>
    <x v="0"/>
    <s v="Central"/>
    <s v="Basic"/>
    <d v="2023-05-22T00:00:00"/>
    <n v="299.98"/>
    <d v="2026-03-03T18:05:35"/>
    <d v="2026-03-03T18:05:35"/>
    <n v="26879.210000000003"/>
    <n v="2.4"/>
    <n v="359.976"/>
    <n v="32255.051999999996"/>
    <n v="24191.289000000012"/>
    <n v="29365.536925"/>
  </r>
  <r>
    <x v="225"/>
    <d v="2025-03-04T00:00:00"/>
    <s v="CUST039"/>
    <s v="Lawrence Reed"/>
    <s v="P002"/>
    <s v="Smartphone"/>
    <s v="Electronics"/>
    <n v="5"/>
    <n v="699.99"/>
    <x v="3"/>
    <s v="East"/>
    <s v="Premium"/>
    <d v="2023-08-23T00:00:00"/>
    <n v="3499.95"/>
    <d v="2026-03-03T18:05:35"/>
    <d v="2026-03-03T18:05:35"/>
    <n v="26579.230000000003"/>
    <n v="6"/>
    <n v="4199.9400000000005"/>
    <n v="31895.075999999997"/>
    <n v="23921.307000000008"/>
    <n v="29037.808775000001"/>
  </r>
  <r>
    <x v="226"/>
    <d v="2025-03-05T00:00:00"/>
    <s v="CUST043"/>
    <s v="Dennis Gray"/>
    <s v="P005"/>
    <s v="Blender"/>
    <s v="Appliances"/>
    <n v="5"/>
    <n v="59.99"/>
    <x v="0"/>
    <s v="West"/>
    <s v="Premium"/>
    <d v="2023-12-31T00:00:00"/>
    <n v="299.95"/>
    <d v="2026-03-03T18:05:35"/>
    <d v="2026-03-03T18:05:35"/>
    <n v="23079.280000000002"/>
    <n v="6"/>
    <n v="359.94"/>
    <n v="27695.135999999999"/>
    <n v="20771.352000000006"/>
    <n v="25214.113399999998"/>
  </r>
  <r>
    <x v="227"/>
    <d v="2025-03-07T00:00:00"/>
    <s v="CUST023"/>
    <s v="Paul Baker"/>
    <s v="P010"/>
    <s v="Keyboard"/>
    <s v="Electronics"/>
    <n v="2"/>
    <n v="89.99"/>
    <x v="1"/>
    <s v="West"/>
    <s v="Premium"/>
    <d v="2024-01-04T00:00:00"/>
    <n v="179.98"/>
    <d v="2026-03-03T18:05:35"/>
    <d v="2026-03-03T18:05:35"/>
    <n v="22779.33"/>
    <n v="2.4"/>
    <n v="215.97599999999997"/>
    <n v="27335.196"/>
    <n v="20501.397000000004"/>
    <n v="24886.418024999999"/>
  </r>
  <r>
    <x v="228"/>
    <d v="2025-03-07T00:00:00"/>
    <s v="CUST030"/>
    <s v="Helen Roberts"/>
    <s v="P009"/>
    <s v="Monitor"/>
    <s v="Electronics"/>
    <n v="5"/>
    <n v="249.99"/>
    <x v="0"/>
    <s v="East"/>
    <s v="Standard"/>
    <d v="2021-12-10T00:00:00"/>
    <n v="1249.95"/>
    <d v="2026-03-03T18:05:35"/>
    <d v="2026-03-03T18:05:35"/>
    <n v="22599.350000000002"/>
    <n v="6"/>
    <n v="1499.94"/>
    <n v="27119.219999999998"/>
    <n v="20339.415000000008"/>
    <n v="24689.789874999999"/>
  </r>
  <r>
    <x v="229"/>
    <d v="2025-03-08T00:00:00"/>
    <s v="CUST039"/>
    <s v="Lawrence Reed"/>
    <s v="P008"/>
    <s v="Bookshelf"/>
    <s v="Furniture"/>
    <n v="2"/>
    <n v="149.99"/>
    <x v="2"/>
    <s v="Central"/>
    <s v="Premium"/>
    <d v="2022-03-12T00:00:00"/>
    <n v="299.98"/>
    <d v="2026-03-03T18:05:35"/>
    <d v="2026-03-03T18:05:35"/>
    <n v="21349.4"/>
    <n v="2.4"/>
    <n v="359.976"/>
    <n v="25619.279999999995"/>
    <n v="19214.460000000006"/>
    <n v="23324.219499999999"/>
  </r>
  <r>
    <x v="230"/>
    <d v="2025-03-08T00:00:00"/>
    <s v="CUST035"/>
    <s v="Harry Morgan"/>
    <s v="P001"/>
    <s v="Laptop"/>
    <s v="Electronics"/>
    <n v="5"/>
    <n v="899.99"/>
    <x v="2"/>
    <s v="East"/>
    <s v="Premium"/>
    <d v="2024-04-07T00:00:00"/>
    <n v="4499.95"/>
    <d v="2026-03-03T18:05:35"/>
    <d v="2026-03-03T18:05:35"/>
    <n v="21049.42"/>
    <n v="6"/>
    <n v="5399.9400000000005"/>
    <n v="25259.303999999996"/>
    <n v="18944.478000000003"/>
    <n v="22996.49135"/>
  </r>
  <r>
    <x v="231"/>
    <d v="2025-03-08T00:00:00"/>
    <s v="CUST017"/>
    <s v="Charles Allen"/>
    <s v="P008"/>
    <s v="Bookshelf"/>
    <s v="Furniture"/>
    <n v="4"/>
    <n v="149.99"/>
    <x v="0"/>
    <s v="Central"/>
    <s v="Standard"/>
    <d v="2023-12-03T00:00:00"/>
    <n v="599.96"/>
    <d v="2026-03-03T18:05:35"/>
    <d v="2026-03-03T18:05:35"/>
    <n v="16549.469999999998"/>
    <n v="4.8"/>
    <n v="719.952"/>
    <n v="19859.363999999998"/>
    <n v="14894.522999999999"/>
    <n v="18080.295975000001"/>
  </r>
  <r>
    <x v="232"/>
    <d v="2025-03-10T00:00:00"/>
    <s v="CUST035"/>
    <s v="Harry Morgan"/>
    <s v="P009"/>
    <s v="Monitor"/>
    <s v="Electronics"/>
    <n v="1"/>
    <n v="249.99"/>
    <x v="0"/>
    <s v="North"/>
    <s v="Standard"/>
    <d v="2023-07-10T00:00:00"/>
    <n v="249.99"/>
    <d v="2026-03-03T18:05:35"/>
    <d v="2026-03-03T18:05:35"/>
    <n v="15949.509999999995"/>
    <n v="1.2"/>
    <n v="299.988"/>
    <n v="19139.411999999997"/>
    <n v="14354.558999999999"/>
    <n v="17424.839674999999"/>
  </r>
  <r>
    <x v="233"/>
    <d v="2025-03-18T00:00:00"/>
    <s v="CUST033"/>
    <s v="Frank Torres"/>
    <s v="P005"/>
    <s v="Blender"/>
    <s v="Appliances"/>
    <n v="2"/>
    <n v="59.99"/>
    <x v="1"/>
    <s v="West"/>
    <s v="Basic"/>
    <d v="2023-09-24T00:00:00"/>
    <n v="119.98"/>
    <d v="2026-03-03T18:05:35"/>
    <d v="2026-03-03T18:05:35"/>
    <n v="15699.519999999995"/>
    <n v="2.4"/>
    <n v="143.976"/>
    <n v="18839.423999999995"/>
    <n v="14129.567999999999"/>
    <n v="17151.725599999998"/>
  </r>
  <r>
    <x v="234"/>
    <d v="2025-03-21T00:00:00"/>
    <s v="CUST002"/>
    <s v="Emma Wilson"/>
    <s v="P008"/>
    <s v="Bookshelf"/>
    <s v="Furniture"/>
    <n v="2"/>
    <n v="149.99"/>
    <x v="0"/>
    <s v="West"/>
    <s v="Premium"/>
    <d v="2023-11-03T00:00:00"/>
    <n v="299.98"/>
    <d v="2026-03-03T18:05:35"/>
    <d v="2026-03-03T18:05:35"/>
    <n v="15579.539999999995"/>
    <n v="2.4"/>
    <n v="359.976"/>
    <n v="18695.447999999997"/>
    <n v="14021.585999999999"/>
    <n v="17020.64745"/>
  </r>
  <r>
    <x v="235"/>
    <d v="2025-03-21T00:00:00"/>
    <s v="CUST040"/>
    <s v="Sharon Butler"/>
    <s v="P001"/>
    <s v="Laptop"/>
    <s v="Electronics"/>
    <n v="3"/>
    <n v="899.99"/>
    <x v="3"/>
    <s v="North"/>
    <s v="Premium"/>
    <d v="2022-11-11T00:00:00"/>
    <n v="2699.97"/>
    <d v="2026-03-03T18:05:35"/>
    <d v="2026-03-03T18:05:35"/>
    <n v="15279.559999999996"/>
    <n v="3.5999999999999996"/>
    <n v="3239.9639999999995"/>
    <n v="18335.471999999998"/>
    <n v="13751.603999999999"/>
    <n v="16692.919299999998"/>
  </r>
  <r>
    <x v="236"/>
    <d v="2025-03-21T00:00:00"/>
    <s v="CUST024"/>
    <s v="Dorothy Nelson"/>
    <s v="P001"/>
    <s v="Laptop"/>
    <s v="Electronics"/>
    <n v="3"/>
    <n v="899.99"/>
    <x v="2"/>
    <s v="North"/>
    <s v="Basic"/>
    <d v="2023-02-18T00:00:00"/>
    <n v="2699.97"/>
    <d v="2026-03-03T18:05:35"/>
    <d v="2026-03-03T18:05:35"/>
    <n v="12579.589999999997"/>
    <n v="3.5999999999999996"/>
    <n v="3239.9639999999995"/>
    <n v="15095.508"/>
    <n v="11321.630999999999"/>
    <n v="13743.202075000001"/>
  </r>
  <r>
    <x v="237"/>
    <d v="2025-03-23T00:00:00"/>
    <s v="CUST023"/>
    <s v="Paul Baker"/>
    <s v="P007"/>
    <s v="Desk"/>
    <s v="Furniture"/>
    <n v="3"/>
    <n v="299.99"/>
    <x v="1"/>
    <s v="West"/>
    <s v="Premium"/>
    <d v="2023-11-04T00:00:00"/>
    <n v="899.97"/>
    <d v="2026-03-03T18:05:35"/>
    <d v="2026-03-03T18:05:35"/>
    <n v="9879.619999999999"/>
    <n v="3.5999999999999996"/>
    <n v="1079.9639999999999"/>
    <n v="11855.544"/>
    <n v="8891.6579999999994"/>
    <n v="10793.484850000001"/>
  </r>
  <r>
    <x v="238"/>
    <d v="2025-03-24T00:00:00"/>
    <s v="CUST001"/>
    <s v="John Smith"/>
    <s v="P008"/>
    <s v="Bookshelf"/>
    <s v="Furniture"/>
    <n v="4"/>
    <n v="149.99"/>
    <x v="2"/>
    <s v="West"/>
    <s v="Standard"/>
    <d v="2021-12-30T00:00:00"/>
    <n v="599.96"/>
    <d v="2026-03-03T18:05:35"/>
    <d v="2026-03-03T18:05:35"/>
    <n v="8979.65"/>
    <n v="4.8"/>
    <n v="719.952"/>
    <n v="10775.58"/>
    <n v="8081.6849999999995"/>
    <n v="9810.2676250000004"/>
  </r>
  <r>
    <x v="239"/>
    <d v="2025-03-27T00:00:00"/>
    <s v="CUST044"/>
    <s v="Cynthia Price"/>
    <s v="P004"/>
    <s v="Coffee Maker"/>
    <s v="Appliances"/>
    <n v="4"/>
    <n v="79.989999999999995"/>
    <x v="1"/>
    <s v="Central"/>
    <s v="Basic"/>
    <d v="2023-12-28T00:00:00"/>
    <n v="319.95999999999998"/>
    <d v="2026-03-03T18:05:35"/>
    <d v="2026-03-03T18:05:35"/>
    <n v="8379.6899999999987"/>
    <n v="4.8"/>
    <n v="383.95199999999994"/>
    <n v="10055.627999999999"/>
    <n v="7541.7209999999995"/>
    <n v="9154.8113250000006"/>
  </r>
  <r>
    <x v="240"/>
    <d v="2025-03-29T00:00:00"/>
    <s v="CUST020"/>
    <s v="Margaret Wright"/>
    <s v="P010"/>
    <s v="Keyboard"/>
    <s v="Electronics"/>
    <n v="5"/>
    <n v="89.99"/>
    <x v="2"/>
    <s v="South"/>
    <s v="Basic"/>
    <d v="2022-05-23T00:00:00"/>
    <n v="449.95"/>
    <d v="2026-03-03T18:05:35"/>
    <d v="2026-03-03T18:05:35"/>
    <n v="8059.7300000000005"/>
    <n v="6"/>
    <n v="539.93999999999994"/>
    <n v="9671.6760000000013"/>
    <n v="7253.7569999999996"/>
    <n v="8805.2550250000004"/>
  </r>
  <r>
    <x v="241"/>
    <d v="2025-03-30T00:00:00"/>
    <s v="CUST048"/>
    <s v="Virginia Sanders"/>
    <s v="P008"/>
    <s v="Bookshelf"/>
    <s v="Furniture"/>
    <n v="3"/>
    <n v="149.99"/>
    <x v="2"/>
    <s v="Central"/>
    <s v="Standard"/>
    <d v="2023-09-02T00:00:00"/>
    <n v="449.97"/>
    <d v="2026-03-03T18:05:35"/>
    <d v="2026-03-03T18:05:35"/>
    <n v="7609.78"/>
    <n v="3.5999999999999996"/>
    <n v="539.96399999999994"/>
    <n v="9131.735999999999"/>
    <n v="6848.8019999999997"/>
    <n v="8313.6846499999992"/>
  </r>
  <r>
    <x v="242"/>
    <d v="2025-03-30T00:00:00"/>
    <s v="CUST026"/>
    <s v="Karen Hill"/>
    <s v="P010"/>
    <s v="Keyboard"/>
    <s v="Electronics"/>
    <n v="2"/>
    <n v="89.99"/>
    <x v="3"/>
    <s v="West"/>
    <s v="Premium"/>
    <d v="2021-11-22T00:00:00"/>
    <n v="179.98"/>
    <d v="2026-03-03T18:05:35"/>
    <d v="2026-03-03T18:05:35"/>
    <n v="7159.81"/>
    <n v="2.4"/>
    <n v="215.97599999999997"/>
    <n v="8591.771999999999"/>
    <n v="6443.8289999999997"/>
    <n v="7822.0924249999989"/>
  </r>
  <r>
    <x v="243"/>
    <d v="2025-04-01T00:00:00"/>
    <s v="CUST044"/>
    <s v="Cynthia Price"/>
    <s v="P002"/>
    <s v="Smartphone"/>
    <s v="Electronics"/>
    <n v="2"/>
    <n v="699.99"/>
    <x v="2"/>
    <s v="North"/>
    <s v="Standard"/>
    <d v="2022-02-26T00:00:00"/>
    <n v="1399.98"/>
    <d v="2026-03-03T18:05:35"/>
    <d v="2026-03-03T18:05:35"/>
    <n v="6979.829999999999"/>
    <n v="2.4"/>
    <n v="1679.9759999999999"/>
    <n v="8375.7959999999985"/>
    <n v="6281.8469999999998"/>
    <n v="7625.4642749999985"/>
  </r>
  <r>
    <x v="244"/>
    <d v="2025-04-02T00:00:00"/>
    <s v="CUST029"/>
    <s v="Edward Mitchell"/>
    <s v="P001"/>
    <s v="Laptop"/>
    <s v="Electronics"/>
    <n v="3"/>
    <n v="899.99"/>
    <x v="0"/>
    <s v="Central"/>
    <s v="Standard"/>
    <d v="2023-01-27T00:00:00"/>
    <n v="2699.97"/>
    <d v="2026-03-03T18:05:35"/>
    <d v="2026-03-03T18:05:35"/>
    <n v="5579.8499999999995"/>
    <n v="3.5999999999999996"/>
    <n v="3239.9639999999995"/>
    <n v="6695.8199999999988"/>
    <n v="5021.8649999999998"/>
    <n v="6095.9861249999994"/>
  </r>
  <r>
    <x v="245"/>
    <d v="2025-04-08T00:00:00"/>
    <s v="CUST048"/>
    <s v="Virginia Sanders"/>
    <s v="P004"/>
    <s v="Coffee Maker"/>
    <s v="Appliances"/>
    <n v="3"/>
    <n v="79.989999999999995"/>
    <x v="1"/>
    <s v="North"/>
    <s v="Basic"/>
    <d v="2021-11-11T00:00:00"/>
    <n v="239.97"/>
    <d v="2026-03-03T18:05:35"/>
    <d v="2026-03-03T18:05:35"/>
    <n v="2879.88"/>
    <n v="3.5999999999999996"/>
    <n v="287.96399999999994"/>
    <n v="3455.8559999999998"/>
    <n v="2591.8919999999998"/>
    <n v="3146.2688999999996"/>
  </r>
  <r>
    <x v="246"/>
    <d v="2025-04-09T00:00:00"/>
    <s v="CUST009"/>
    <s v="Robert Thomas"/>
    <s v="P010"/>
    <s v="Keyboard"/>
    <s v="Electronics"/>
    <n v="1"/>
    <n v="89.99"/>
    <x v="3"/>
    <s v="East"/>
    <s v="Basic"/>
    <d v="2024-02-24T00:00:00"/>
    <n v="89.99"/>
    <d v="2026-03-03T18:05:35"/>
    <d v="2026-03-03T18:05:35"/>
    <n v="2639.91"/>
    <n v="1.2"/>
    <n v="107.98799999999999"/>
    <n v="3167.8919999999998"/>
    <n v="2375.9189999999999"/>
    <n v="2884.1016749999994"/>
  </r>
  <r>
    <x v="247"/>
    <d v="2025-04-11T00:00:00"/>
    <s v="CUST045"/>
    <s v="Douglas Watson"/>
    <s v="P002"/>
    <s v="Smartphone"/>
    <s v="Electronics"/>
    <n v="3"/>
    <n v="699.99"/>
    <x v="2"/>
    <s v="North"/>
    <s v="Basic"/>
    <d v="2022-12-14T00:00:00"/>
    <n v="2099.9699999999998"/>
    <d v="2026-03-03T18:05:35"/>
    <d v="2026-03-03T18:05:35"/>
    <n v="2549.92"/>
    <n v="3.5999999999999996"/>
    <n v="2519.9639999999999"/>
    <n v="3059.904"/>
    <n v="2294.9279999999999"/>
    <n v="2785.7875999999997"/>
  </r>
  <r>
    <x v="248"/>
    <d v="2025-04-11T00:00:00"/>
    <s v="CUST039"/>
    <s v="Lawrence Reed"/>
    <s v="P010"/>
    <s v="Keyboard"/>
    <s v="Electronics"/>
    <n v="2"/>
    <n v="89.99"/>
    <x v="3"/>
    <s v="East"/>
    <s v="Basic"/>
    <d v="2023-06-11T00:00:00"/>
    <n v="179.98"/>
    <d v="2026-03-03T18:05:35"/>
    <d v="2026-03-03T18:05:35"/>
    <n v="449.95000000000005"/>
    <n v="2.4"/>
    <n v="215.97599999999997"/>
    <n v="539.93999999999994"/>
    <n v="404.95500000000004"/>
    <n v="491.5703749999999"/>
  </r>
  <r>
    <x v="249"/>
    <d v="2025-04-11T00:00:00"/>
    <s v="CUST031"/>
    <s v="Steven Turner"/>
    <s v="P010"/>
    <s v="Keyboard"/>
    <s v="Electronics"/>
    <n v="3"/>
    <n v="89.99"/>
    <x v="3"/>
    <s v="North"/>
    <s v="Premium"/>
    <d v="2022-11-13T00:00:00"/>
    <n v="269.97000000000003"/>
    <d v="2026-03-03T18:05:35"/>
    <d v="2026-03-03T18:05:35"/>
    <n v="269.97000000000003"/>
    <n v="3.5999999999999996"/>
    <n v="323.96399999999994"/>
    <n v="323.96399999999994"/>
    <n v="242.97300000000001"/>
    <n v="294.9422249999999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x v="0"/>
    <x v="0"/>
    <s v="CUST023"/>
    <s v="Paul Baker"/>
    <s v="P009"/>
    <s v="Monitor"/>
    <x v="0"/>
    <n v="3"/>
    <n v="249.99"/>
    <s v="Cash"/>
    <s v="Central"/>
    <s v="Basic"/>
    <d v="2021-08-17T00:00:00"/>
    <n v="749.97"/>
    <d v="2026-03-03T18:05:48"/>
    <d v="2026-03-03T18:05:48"/>
    <x v="0"/>
    <x v="0"/>
    <x v="0"/>
    <x v="0"/>
    <n v="206030.24999999985"/>
    <n v="250097.83125000037"/>
  </r>
  <r>
    <x v="1"/>
    <x v="1"/>
    <s v="CUST013"/>
    <s v="Joseph Jackson"/>
    <s v="P009"/>
    <s v="Monitor"/>
    <x v="0"/>
    <n v="3"/>
    <n v="249.99"/>
    <s v="Credit Card"/>
    <s v="Central"/>
    <s v="Premium"/>
    <d v="2022-01-14T00:00:00"/>
    <n v="749.97"/>
    <d v="2026-03-03T18:05:48"/>
    <d v="2026-03-03T18:05:48"/>
    <x v="1"/>
    <x v="0"/>
    <x v="0"/>
    <x v="1"/>
    <n v="205598.24999999985"/>
    <n v="249573.43125000037"/>
  </r>
  <r>
    <x v="2"/>
    <x v="2"/>
    <s v="CUST021"/>
    <s v="Kevin Scott"/>
    <s v="P005"/>
    <s v="Blender"/>
    <x v="1"/>
    <n v="3"/>
    <n v="59.99"/>
    <s v="PayPal"/>
    <s v="South"/>
    <s v="Standard"/>
    <d v="2023-12-02T00:00:00"/>
    <n v="179.97"/>
    <d v="2026-03-03T18:05:48"/>
    <d v="2026-03-03T18:05:48"/>
    <x v="2"/>
    <x v="0"/>
    <x v="1"/>
    <x v="2"/>
    <n v="204923.27699999986"/>
    <n v="248754.08902500034"/>
  </r>
  <r>
    <x v="3"/>
    <x v="3"/>
    <s v="CUST046"/>
    <s v="Kathleen Bennett"/>
    <s v="P005"/>
    <s v="Blender"/>
    <x v="1"/>
    <n v="3"/>
    <n v="59.99"/>
    <s v="Cash"/>
    <s v="North"/>
    <s v="Premium"/>
    <d v="2023-07-07T00:00:00"/>
    <n v="179.97"/>
    <d v="2026-03-03T18:05:48"/>
    <d v="2026-03-03T18:05:48"/>
    <x v="3"/>
    <x v="0"/>
    <x v="1"/>
    <x v="3"/>
    <n v="204761.30399999983"/>
    <n v="248557.47180000035"/>
  </r>
  <r>
    <x v="4"/>
    <x v="3"/>
    <s v="CUST003"/>
    <s v="Michael Brown"/>
    <s v="P008"/>
    <s v="Bookshelf"/>
    <x v="2"/>
    <n v="5"/>
    <n v="149.99"/>
    <s v="Credit Card"/>
    <s v="North"/>
    <s v="Premium"/>
    <d v="2024-01-04T00:00:00"/>
    <n v="749.95"/>
    <d v="2026-03-03T18:05:48"/>
    <d v="2026-03-03T18:05:48"/>
    <x v="4"/>
    <x v="1"/>
    <x v="2"/>
    <x v="4"/>
    <n v="204599.33099999983"/>
    <n v="248360.85457500035"/>
  </r>
  <r>
    <x v="5"/>
    <x v="4"/>
    <s v="CUST024"/>
    <s v="Dorothy Nelson"/>
    <s v="P005"/>
    <s v="Blender"/>
    <x v="1"/>
    <n v="2"/>
    <n v="59.99"/>
    <s v="Cash"/>
    <s v="West"/>
    <s v="Standard"/>
    <d v="2022-07-04T00:00:00"/>
    <n v="119.98"/>
    <d v="2026-03-03T18:05:48"/>
    <d v="2026-03-03T18:05:48"/>
    <x v="5"/>
    <x v="2"/>
    <x v="3"/>
    <x v="5"/>
    <n v="203924.37599999987"/>
    <n v="247541.53420000034"/>
  </r>
  <r>
    <x v="6"/>
    <x v="4"/>
    <s v="CUST024"/>
    <s v="Dorothy Nelson"/>
    <s v="P003"/>
    <s v="Headphones"/>
    <x v="0"/>
    <n v="5"/>
    <n v="149.99"/>
    <s v="Credit Card"/>
    <s v="Central"/>
    <s v="Standard"/>
    <d v="2021-08-10T00:00:00"/>
    <n v="749.95"/>
    <d v="2026-03-03T18:05:48"/>
    <d v="2026-03-03T18:05:48"/>
    <x v="6"/>
    <x v="1"/>
    <x v="2"/>
    <x v="6"/>
    <n v="203816.39399999988"/>
    <n v="247410.45605000036"/>
  </r>
  <r>
    <x v="7"/>
    <x v="4"/>
    <s v="CUST017"/>
    <s v="Charles Allen"/>
    <s v="P005"/>
    <s v="Blender"/>
    <x v="1"/>
    <n v="3"/>
    <n v="59.99"/>
    <s v="Debit Card"/>
    <s v="South"/>
    <s v="Basic"/>
    <d v="2023-03-22T00:00:00"/>
    <n v="179.97"/>
    <d v="2026-03-03T18:05:48"/>
    <d v="2026-03-03T18:05:48"/>
    <x v="7"/>
    <x v="0"/>
    <x v="1"/>
    <x v="7"/>
    <n v="203141.43899999987"/>
    <n v="246591.13567500035"/>
  </r>
  <r>
    <x v="8"/>
    <x v="5"/>
    <s v="CUST009"/>
    <s v="Robert Thomas"/>
    <s v="P001"/>
    <s v="Laptop"/>
    <x v="0"/>
    <n v="3"/>
    <n v="899.99"/>
    <s v="PayPal"/>
    <s v="East"/>
    <s v="Standard"/>
    <d v="2024-01-08T00:00:00"/>
    <n v="2699.97"/>
    <d v="2026-03-03T18:05:48"/>
    <d v="2026-03-03T18:05:48"/>
    <x v="8"/>
    <x v="0"/>
    <x v="4"/>
    <x v="8"/>
    <n v="202979.46599999987"/>
    <n v="246394.51845000035"/>
  </r>
  <r>
    <x v="9"/>
    <x v="6"/>
    <s v="CUST026"/>
    <s v="Karen Hill"/>
    <s v="P005"/>
    <s v="Blender"/>
    <x v="1"/>
    <n v="3"/>
    <n v="59.99"/>
    <s v="Cash"/>
    <s v="West"/>
    <s v="Premium"/>
    <d v="2023-10-08T00:00:00"/>
    <n v="179.97"/>
    <d v="2026-03-03T18:05:48"/>
    <d v="2026-03-03T18:05:48"/>
    <x v="9"/>
    <x v="0"/>
    <x v="1"/>
    <x v="9"/>
    <n v="200549.49299999984"/>
    <n v="243444.80122500032"/>
  </r>
  <r>
    <x v="10"/>
    <x v="6"/>
    <s v="CUST022"/>
    <s v="Susan Green"/>
    <s v="P008"/>
    <s v="Bookshelf"/>
    <x v="2"/>
    <n v="1"/>
    <n v="149.99"/>
    <s v="Credit Card"/>
    <s v="West"/>
    <s v="Standard"/>
    <d v="2023-06-26T00:00:00"/>
    <n v="149.99"/>
    <d v="2026-03-03T18:05:48"/>
    <d v="2026-03-03T18:05:48"/>
    <x v="10"/>
    <x v="3"/>
    <x v="5"/>
    <x v="10"/>
    <n v="200387.51999999984"/>
    <n v="243248.18400000033"/>
  </r>
  <r>
    <x v="11"/>
    <x v="6"/>
    <s v="CUST046"/>
    <s v="Kathleen Bennett"/>
    <s v="P008"/>
    <s v="Bookshelf"/>
    <x v="2"/>
    <n v="5"/>
    <n v="149.99"/>
    <s v="Debit Card"/>
    <s v="North"/>
    <s v="Basic"/>
    <d v="2022-09-26T00:00:00"/>
    <n v="749.95"/>
    <d v="2026-03-03T18:05:48"/>
    <d v="2026-03-03T18:05:48"/>
    <x v="11"/>
    <x v="1"/>
    <x v="2"/>
    <x v="11"/>
    <n v="200252.52899999986"/>
    <n v="243084.31992500031"/>
  </r>
  <r>
    <x v="12"/>
    <x v="6"/>
    <s v="CUST041"/>
    <s v="Peter Richardson"/>
    <s v="P008"/>
    <s v="Bookshelf"/>
    <x v="2"/>
    <n v="3"/>
    <n v="149.99"/>
    <s v="Cash"/>
    <s v="North"/>
    <s v="Premium"/>
    <d v="2022-09-02T00:00:00"/>
    <n v="449.97"/>
    <d v="2026-03-03T18:05:48"/>
    <d v="2026-03-03T18:05:48"/>
    <x v="12"/>
    <x v="0"/>
    <x v="6"/>
    <x v="12"/>
    <n v="199577.57399999988"/>
    <n v="242264.99955000033"/>
  </r>
  <r>
    <x v="13"/>
    <x v="7"/>
    <s v="CUST043"/>
    <s v="Dennis Gray"/>
    <s v="P005"/>
    <s v="Blender"/>
    <x v="1"/>
    <n v="3"/>
    <n v="59.99"/>
    <s v="Credit Card"/>
    <s v="North"/>
    <s v="Standard"/>
    <d v="2024-02-29T00:00:00"/>
    <n v="179.97"/>
    <d v="2026-03-03T18:05:48"/>
    <d v="2026-03-03T18:05:48"/>
    <x v="13"/>
    <x v="0"/>
    <x v="1"/>
    <x v="13"/>
    <n v="199172.60099999985"/>
    <n v="241773.40732500033"/>
  </r>
  <r>
    <x v="14"/>
    <x v="7"/>
    <s v="CUST038"/>
    <s v="Michelle Rogers"/>
    <s v="P002"/>
    <s v="Smartphone"/>
    <x v="0"/>
    <n v="3"/>
    <n v="699.99"/>
    <s v="Credit Card"/>
    <s v="West"/>
    <s v="Basic"/>
    <d v="2022-01-16T00:00:00"/>
    <n v="2099.9699999999998"/>
    <d v="2026-03-03T18:05:48"/>
    <d v="2026-03-03T18:05:48"/>
    <x v="14"/>
    <x v="0"/>
    <x v="7"/>
    <x v="14"/>
    <n v="199010.62799999985"/>
    <n v="241576.79010000033"/>
  </r>
  <r>
    <x v="15"/>
    <x v="7"/>
    <s v="CUST027"/>
    <s v="George Adams"/>
    <s v="P001"/>
    <s v="Laptop"/>
    <x v="0"/>
    <n v="1"/>
    <n v="899.99"/>
    <s v="Debit Card"/>
    <s v="North"/>
    <s v="Standard"/>
    <d v="2022-12-25T00:00:00"/>
    <n v="899.99"/>
    <d v="2026-03-03T18:05:48"/>
    <d v="2026-03-03T18:05:48"/>
    <x v="15"/>
    <x v="3"/>
    <x v="8"/>
    <x v="15"/>
    <n v="197120.65499999988"/>
    <n v="239282.5728750003"/>
  </r>
  <r>
    <x v="16"/>
    <x v="8"/>
    <s v="CUST025"/>
    <s v="Mark Carter"/>
    <s v="P008"/>
    <s v="Bookshelf"/>
    <x v="2"/>
    <n v="4"/>
    <n v="149.99"/>
    <s v="Debit Card"/>
    <s v="North"/>
    <s v="Premium"/>
    <d v="2024-03-23T00:00:00"/>
    <n v="599.96"/>
    <d v="2026-03-03T18:05:48"/>
    <d v="2026-03-03T18:05:48"/>
    <x v="16"/>
    <x v="4"/>
    <x v="9"/>
    <x v="16"/>
    <n v="196310.6639999999"/>
    <n v="238299.33380000028"/>
  </r>
  <r>
    <x v="17"/>
    <x v="8"/>
    <s v="CUST010"/>
    <s v="Maria Garcia"/>
    <s v="P002"/>
    <s v="Smartphone"/>
    <x v="0"/>
    <n v="2"/>
    <n v="699.99"/>
    <s v="Cash"/>
    <s v="North"/>
    <s v="Basic"/>
    <d v="2022-08-08T00:00:00"/>
    <n v="1399.98"/>
    <d v="2026-03-03T18:05:48"/>
    <d v="2026-03-03T18:05:48"/>
    <x v="17"/>
    <x v="2"/>
    <x v="10"/>
    <x v="17"/>
    <n v="195770.6999999999"/>
    <n v="237643.87750000026"/>
  </r>
  <r>
    <x v="18"/>
    <x v="8"/>
    <s v="CUST025"/>
    <s v="Mark Carter"/>
    <s v="P001"/>
    <s v="Laptop"/>
    <x v="0"/>
    <n v="4"/>
    <n v="899.99"/>
    <s v="Credit Card"/>
    <s v="West"/>
    <s v="Standard"/>
    <d v="2024-02-05T00:00:00"/>
    <n v="3599.96"/>
    <d v="2026-03-03T18:05:48"/>
    <d v="2026-03-03T18:05:48"/>
    <x v="18"/>
    <x v="4"/>
    <x v="11"/>
    <x v="18"/>
    <n v="194510.71799999991"/>
    <n v="236114.39935000025"/>
  </r>
  <r>
    <x v="19"/>
    <x v="8"/>
    <s v="CUST048"/>
    <s v="Virginia Sanders"/>
    <s v="P009"/>
    <s v="Monitor"/>
    <x v="0"/>
    <n v="3"/>
    <n v="249.99"/>
    <s v="Credit Card"/>
    <s v="North"/>
    <s v="Premium"/>
    <d v="2023-10-25T00:00:00"/>
    <n v="749.97"/>
    <d v="2026-03-03T18:05:48"/>
    <d v="2026-03-03T18:05:48"/>
    <x v="19"/>
    <x v="0"/>
    <x v="0"/>
    <x v="19"/>
    <n v="191270.75399999993"/>
    <n v="232181.44305000026"/>
  </r>
  <r>
    <x v="20"/>
    <x v="9"/>
    <s v="CUST018"/>
    <s v="Barbara Young"/>
    <s v="P002"/>
    <s v="Smartphone"/>
    <x v="0"/>
    <n v="5"/>
    <n v="699.99"/>
    <s v="Cash"/>
    <s v="West"/>
    <s v="Basic"/>
    <d v="2023-08-29T00:00:00"/>
    <n v="3499.95"/>
    <d v="2026-03-03T18:05:48"/>
    <d v="2026-03-03T18:05:48"/>
    <x v="20"/>
    <x v="1"/>
    <x v="12"/>
    <x v="20"/>
    <n v="190595.7809999999"/>
    <n v="231362.10082500023"/>
  </r>
  <r>
    <x v="21"/>
    <x v="10"/>
    <s v="CUST012"/>
    <s v="Patricia Moore"/>
    <s v="P002"/>
    <s v="Smartphone"/>
    <x v="0"/>
    <n v="4"/>
    <n v="699.99"/>
    <s v="Cash"/>
    <s v="East"/>
    <s v="Standard"/>
    <d v="2021-08-01T00:00:00"/>
    <n v="2799.96"/>
    <d v="2026-03-03T18:05:48"/>
    <d v="2026-03-03T18:05:48"/>
    <x v="21"/>
    <x v="4"/>
    <x v="13"/>
    <x v="21"/>
    <n v="187445.82599999991"/>
    <n v="227538.40545000019"/>
  </r>
  <r>
    <x v="22"/>
    <x v="11"/>
    <s v="CUST044"/>
    <s v="Cynthia Price"/>
    <s v="P009"/>
    <s v="Monitor"/>
    <x v="0"/>
    <n v="4"/>
    <n v="249.99"/>
    <s v="PayPal"/>
    <s v="North"/>
    <s v="Standard"/>
    <d v="2021-09-29T00:00:00"/>
    <n v="999.96"/>
    <d v="2026-03-03T18:05:48"/>
    <d v="2026-03-03T18:05:48"/>
    <x v="22"/>
    <x v="4"/>
    <x v="14"/>
    <x v="22"/>
    <n v="184925.86199999994"/>
    <n v="224479.4491500002"/>
  </r>
  <r>
    <x v="23"/>
    <x v="12"/>
    <s v="CUST025"/>
    <s v="Mark Carter"/>
    <s v="P007"/>
    <s v="Desk"/>
    <x v="2"/>
    <n v="4"/>
    <n v="299.99"/>
    <s v="Cash"/>
    <s v="West"/>
    <s v="Premium"/>
    <d v="2022-06-04T00:00:00"/>
    <n v="1199.96"/>
    <d v="2026-03-03T18:05:48"/>
    <d v="2026-03-03T18:05:48"/>
    <x v="23"/>
    <x v="4"/>
    <x v="15"/>
    <x v="23"/>
    <n v="184025.8979999999"/>
    <n v="223386.99285000021"/>
  </r>
  <r>
    <x v="24"/>
    <x v="13"/>
    <s v="CUST036"/>
    <s v="Nancy Collins"/>
    <s v="P009"/>
    <s v="Monitor"/>
    <x v="0"/>
    <n v="5"/>
    <n v="249.99"/>
    <s v="Credit Card"/>
    <s v="West"/>
    <s v="Standard"/>
    <d v="2021-11-25T00:00:00"/>
    <n v="1249.95"/>
    <d v="2026-03-03T18:05:48"/>
    <d v="2026-03-03T18:05:48"/>
    <x v="24"/>
    <x v="1"/>
    <x v="16"/>
    <x v="24"/>
    <n v="182945.93399999989"/>
    <n v="222076.03655000022"/>
  </r>
  <r>
    <x v="25"/>
    <x v="14"/>
    <s v="CUST022"/>
    <s v="Susan Green"/>
    <s v="P007"/>
    <s v="Desk"/>
    <x v="2"/>
    <n v="5"/>
    <n v="299.99"/>
    <s v="PayPal"/>
    <s v="East"/>
    <s v="Basic"/>
    <d v="2023-08-30T00:00:00"/>
    <n v="1499.95"/>
    <d v="2026-03-03T18:05:48"/>
    <d v="2026-03-03T18:05:48"/>
    <x v="25"/>
    <x v="1"/>
    <x v="17"/>
    <x v="25"/>
    <n v="181820.9789999999"/>
    <n v="220710.46617500024"/>
  </r>
  <r>
    <x v="26"/>
    <x v="14"/>
    <s v="CUST014"/>
    <s v="Linda Martin"/>
    <s v="P004"/>
    <s v="Coffee Maker"/>
    <x v="1"/>
    <n v="3"/>
    <n v="79.989999999999995"/>
    <s v="PayPal"/>
    <s v="East"/>
    <s v="Premium"/>
    <d v="2023-03-27T00:00:00"/>
    <n v="239.97"/>
    <d v="2026-03-03T18:05:48"/>
    <d v="2026-03-03T18:05:48"/>
    <x v="26"/>
    <x v="0"/>
    <x v="18"/>
    <x v="26"/>
    <n v="180471.02399999992"/>
    <n v="219071.7708000002"/>
  </r>
  <r>
    <x v="27"/>
    <x v="14"/>
    <s v="CUST012"/>
    <s v="Patricia Moore"/>
    <s v="P010"/>
    <s v="Keyboard"/>
    <x v="0"/>
    <n v="5"/>
    <n v="89.99"/>
    <s v="Cash"/>
    <s v="North"/>
    <s v="Premium"/>
    <d v="2022-12-24T00:00:00"/>
    <n v="449.95"/>
    <d v="2026-03-03T18:05:48"/>
    <d v="2026-03-03T18:05:48"/>
    <x v="27"/>
    <x v="1"/>
    <x v="19"/>
    <x v="27"/>
    <n v="180255.05099999992"/>
    <n v="218809.60357500022"/>
  </r>
  <r>
    <x v="28"/>
    <x v="15"/>
    <s v="CUST030"/>
    <s v="Helen Roberts"/>
    <s v="P005"/>
    <s v="Blender"/>
    <x v="1"/>
    <n v="2"/>
    <n v="59.99"/>
    <s v="Debit Card"/>
    <s v="Central"/>
    <s v="Standard"/>
    <d v="2023-10-15T00:00:00"/>
    <n v="119.98"/>
    <d v="2026-03-03T18:05:48"/>
    <d v="2026-03-03T18:05:48"/>
    <x v="28"/>
    <x v="2"/>
    <x v="3"/>
    <x v="28"/>
    <n v="179850.0959999999"/>
    <n v="218318.03320000021"/>
  </r>
  <r>
    <x v="29"/>
    <x v="16"/>
    <s v="CUST029"/>
    <s v="Edward Mitchell"/>
    <s v="P005"/>
    <s v="Blender"/>
    <x v="1"/>
    <n v="4"/>
    <n v="59.99"/>
    <s v="Debit Card"/>
    <s v="East"/>
    <s v="Standard"/>
    <d v="2022-11-02T00:00:00"/>
    <n v="239.96"/>
    <d v="2026-03-03T18:05:48"/>
    <d v="2026-03-03T18:05:48"/>
    <x v="29"/>
    <x v="4"/>
    <x v="20"/>
    <x v="29"/>
    <n v="179742.11399999994"/>
    <n v="218186.95505000022"/>
  </r>
  <r>
    <x v="30"/>
    <x v="16"/>
    <s v="CUST017"/>
    <s v="Charles Allen"/>
    <s v="P006"/>
    <s v="Office Chair"/>
    <x v="2"/>
    <n v="5"/>
    <n v="199.99"/>
    <s v="Cash"/>
    <s v="South"/>
    <s v="Standard"/>
    <d v="2021-08-04T00:00:00"/>
    <n v="999.95"/>
    <d v="2026-03-03T18:05:48"/>
    <d v="2026-03-03T18:05:48"/>
    <x v="30"/>
    <x v="1"/>
    <x v="21"/>
    <x v="30"/>
    <n v="179526.14999999994"/>
    <n v="217924.79875000019"/>
  </r>
  <r>
    <x v="31"/>
    <x v="17"/>
    <s v="CUST006"/>
    <s v="Lisa Anderson"/>
    <s v="P008"/>
    <s v="Bookshelf"/>
    <x v="2"/>
    <n v="2"/>
    <n v="149.99"/>
    <s v="Credit Card"/>
    <s v="West"/>
    <s v="Basic"/>
    <d v="2022-09-19T00:00:00"/>
    <n v="299.98"/>
    <d v="2026-03-03T18:05:48"/>
    <d v="2026-03-03T18:05:48"/>
    <x v="31"/>
    <x v="2"/>
    <x v="22"/>
    <x v="31"/>
    <n v="178626.19499999995"/>
    <n v="216832.35337500021"/>
  </r>
  <r>
    <x v="32"/>
    <x v="18"/>
    <s v="CUST002"/>
    <s v="Emma Wilson"/>
    <s v="P008"/>
    <s v="Bookshelf"/>
    <x v="2"/>
    <n v="3"/>
    <n v="149.99"/>
    <s v="Credit Card"/>
    <s v="West"/>
    <s v="Premium"/>
    <d v="2023-05-22T00:00:00"/>
    <n v="449.97"/>
    <d v="2026-03-03T18:05:48"/>
    <d v="2026-03-03T18:05:48"/>
    <x v="32"/>
    <x v="0"/>
    <x v="6"/>
    <x v="32"/>
    <n v="178356.21299999993"/>
    <n v="216504.6252250002"/>
  </r>
  <r>
    <x v="33"/>
    <x v="19"/>
    <s v="CUST021"/>
    <s v="Kevin Scott"/>
    <s v="P001"/>
    <s v="Laptop"/>
    <x v="0"/>
    <n v="1"/>
    <n v="899.99"/>
    <s v="Credit Card"/>
    <s v="West"/>
    <s v="Premium"/>
    <d v="2022-01-17T00:00:00"/>
    <n v="899.99"/>
    <d v="2026-03-03T18:05:48"/>
    <d v="2026-03-03T18:05:48"/>
    <x v="33"/>
    <x v="3"/>
    <x v="8"/>
    <x v="33"/>
    <n v="177951.23999999993"/>
    <n v="216013.0330000002"/>
  </r>
  <r>
    <x v="34"/>
    <x v="20"/>
    <s v="CUST012"/>
    <s v="Patricia Moore"/>
    <s v="P007"/>
    <s v="Desk"/>
    <x v="2"/>
    <n v="3"/>
    <n v="299.99"/>
    <s v="Credit Card"/>
    <s v="East"/>
    <s v="Basic"/>
    <d v="2022-09-20T00:00:00"/>
    <n v="899.97"/>
    <d v="2026-03-03T18:05:48"/>
    <d v="2026-03-03T18:05:48"/>
    <x v="34"/>
    <x v="0"/>
    <x v="23"/>
    <x v="34"/>
    <n v="177141.24899999995"/>
    <n v="215029.79392500021"/>
  </r>
  <r>
    <x v="35"/>
    <x v="21"/>
    <s v="CUST006"/>
    <s v="Lisa Anderson"/>
    <s v="P004"/>
    <s v="Coffee Maker"/>
    <x v="1"/>
    <n v="3"/>
    <n v="79.989999999999995"/>
    <s v="Cash"/>
    <s v="South"/>
    <s v="Basic"/>
    <d v="2023-04-30T00:00:00"/>
    <n v="239.97"/>
    <d v="2026-03-03T18:05:48"/>
    <d v="2026-03-03T18:05:48"/>
    <x v="35"/>
    <x v="0"/>
    <x v="18"/>
    <x v="35"/>
    <n v="176331.27599999993"/>
    <n v="214046.57670000021"/>
  </r>
  <r>
    <x v="36"/>
    <x v="22"/>
    <s v="CUST031"/>
    <s v="Steven Turner"/>
    <s v="P006"/>
    <s v="Office Chair"/>
    <x v="2"/>
    <n v="3"/>
    <n v="199.99"/>
    <s v="Credit Card"/>
    <s v="North"/>
    <s v="Premium"/>
    <d v="2024-01-01T00:00:00"/>
    <n v="599.97"/>
    <d v="2026-03-03T18:05:48"/>
    <d v="2026-03-03T18:05:48"/>
    <x v="36"/>
    <x v="0"/>
    <x v="24"/>
    <x v="36"/>
    <n v="176115.30299999993"/>
    <n v="213784.4094750002"/>
  </r>
  <r>
    <x v="37"/>
    <x v="23"/>
    <s v="CUST008"/>
    <s v="Jennifer Taylor"/>
    <s v="P002"/>
    <s v="Smartphone"/>
    <x v="0"/>
    <n v="5"/>
    <n v="699.99"/>
    <s v="PayPal"/>
    <s v="West"/>
    <s v="Standard"/>
    <d v="2021-07-30T00:00:00"/>
    <n v="3499.95"/>
    <d v="2026-03-03T18:05:48"/>
    <d v="2026-03-03T18:05:48"/>
    <x v="37"/>
    <x v="1"/>
    <x v="12"/>
    <x v="37"/>
    <n v="175575.32999999993"/>
    <n v="213128.94225000023"/>
  </r>
  <r>
    <x v="38"/>
    <x v="24"/>
    <s v="CUST035"/>
    <s v="Harry Morgan"/>
    <s v="P010"/>
    <s v="Keyboard"/>
    <x v="0"/>
    <n v="3"/>
    <n v="89.99"/>
    <s v="PayPal"/>
    <s v="Central"/>
    <s v="Premium"/>
    <d v="2023-07-13T00:00:00"/>
    <n v="269.97000000000003"/>
    <d v="2026-03-03T18:05:48"/>
    <d v="2026-03-03T18:05:48"/>
    <x v="38"/>
    <x v="0"/>
    <x v="25"/>
    <x v="38"/>
    <n v="172425.37499999991"/>
    <n v="209305.24687500016"/>
  </r>
  <r>
    <x v="39"/>
    <x v="25"/>
    <s v="CUST019"/>
    <s v="Daniel King"/>
    <s v="P004"/>
    <s v="Coffee Maker"/>
    <x v="1"/>
    <n v="1"/>
    <n v="79.989999999999995"/>
    <s v="Cash"/>
    <s v="North"/>
    <s v="Standard"/>
    <d v="2022-12-22T00:00:00"/>
    <n v="79.989999999999995"/>
    <d v="2026-03-03T18:05:48"/>
    <d v="2026-03-03T18:05:48"/>
    <x v="39"/>
    <x v="3"/>
    <x v="26"/>
    <x v="39"/>
    <n v="172182.40199999991"/>
    <n v="209010.30465000015"/>
  </r>
  <r>
    <x v="40"/>
    <x v="26"/>
    <s v="CUST040"/>
    <s v="Sharon Butler"/>
    <s v="P005"/>
    <s v="Blender"/>
    <x v="1"/>
    <n v="2"/>
    <n v="59.99"/>
    <s v="Cash"/>
    <s v="West"/>
    <s v="Basic"/>
    <d v="2024-04-08T00:00:00"/>
    <n v="119.98"/>
    <d v="2026-03-03T18:05:48"/>
    <d v="2026-03-03T18:05:48"/>
    <x v="40"/>
    <x v="2"/>
    <x v="3"/>
    <x v="40"/>
    <n v="172110.41099999993"/>
    <n v="208922.91557500014"/>
  </r>
  <r>
    <x v="41"/>
    <x v="26"/>
    <s v="CUST017"/>
    <s v="Charles Allen"/>
    <s v="P010"/>
    <s v="Keyboard"/>
    <x v="0"/>
    <n v="1"/>
    <n v="89.99"/>
    <s v="Cash"/>
    <s v="North"/>
    <s v="Basic"/>
    <d v="2023-08-03T00:00:00"/>
    <n v="89.99"/>
    <d v="2026-03-03T18:05:48"/>
    <d v="2026-03-03T18:05:48"/>
    <x v="41"/>
    <x v="3"/>
    <x v="27"/>
    <x v="41"/>
    <n v="172002.42899999992"/>
    <n v="208791.83742500015"/>
  </r>
  <r>
    <x v="42"/>
    <x v="27"/>
    <s v="CUST004"/>
    <s v="Sarah Davis"/>
    <s v="P010"/>
    <s v="Keyboard"/>
    <x v="0"/>
    <n v="5"/>
    <n v="89.99"/>
    <s v="Credit Card"/>
    <s v="East"/>
    <s v="Standard"/>
    <d v="2022-01-26T00:00:00"/>
    <n v="449.95"/>
    <d v="2026-03-03T18:05:48"/>
    <d v="2026-03-03T18:05:48"/>
    <x v="42"/>
    <x v="1"/>
    <x v="19"/>
    <x v="42"/>
    <n v="171921.43799999994"/>
    <n v="208693.52335000015"/>
  </r>
  <r>
    <x v="43"/>
    <x v="28"/>
    <s v="CUST013"/>
    <s v="Joseph Jackson"/>
    <s v="P009"/>
    <s v="Monitor"/>
    <x v="0"/>
    <n v="5"/>
    <n v="249.99"/>
    <s v="Credit Card"/>
    <s v="East"/>
    <s v="Standard"/>
    <d v="2022-05-26T00:00:00"/>
    <n v="1249.95"/>
    <d v="2026-03-03T18:05:48"/>
    <d v="2026-03-03T18:05:48"/>
    <x v="43"/>
    <x v="1"/>
    <x v="16"/>
    <x v="43"/>
    <n v="171516.48299999992"/>
    <n v="208201.95297500014"/>
  </r>
  <r>
    <x v="44"/>
    <x v="28"/>
    <s v="CUST028"/>
    <s v="Betty Campbell"/>
    <s v="P010"/>
    <s v="Keyboard"/>
    <x v="0"/>
    <n v="1"/>
    <n v="89.99"/>
    <s v="Credit Card"/>
    <s v="South"/>
    <s v="Standard"/>
    <d v="2022-01-21T00:00:00"/>
    <n v="89.99"/>
    <d v="2026-03-03T18:05:48"/>
    <d v="2026-03-03T18:05:48"/>
    <x v="44"/>
    <x v="3"/>
    <x v="27"/>
    <x v="44"/>
    <n v="170391.5279999999"/>
    <n v="206836.38260000013"/>
  </r>
  <r>
    <x v="45"/>
    <x v="29"/>
    <s v="CUST003"/>
    <s v="Michael Brown"/>
    <s v="P008"/>
    <s v="Bookshelf"/>
    <x v="2"/>
    <n v="2"/>
    <n v="149.99"/>
    <s v="Cash"/>
    <s v="East"/>
    <s v="Premium"/>
    <d v="2022-03-25T00:00:00"/>
    <n v="299.98"/>
    <d v="2026-03-03T18:05:48"/>
    <d v="2026-03-03T18:05:48"/>
    <x v="45"/>
    <x v="2"/>
    <x v="22"/>
    <x v="45"/>
    <n v="170310.53699999989"/>
    <n v="206738.06852500013"/>
  </r>
  <r>
    <x v="46"/>
    <x v="30"/>
    <s v="CUST050"/>
    <s v="Julie Foster"/>
    <s v="P005"/>
    <s v="Blender"/>
    <x v="1"/>
    <n v="4"/>
    <n v="59.99"/>
    <s v="Cash"/>
    <s v="East"/>
    <s v="Standard"/>
    <d v="2021-08-27T00:00:00"/>
    <n v="239.96"/>
    <d v="2026-03-03T18:05:48"/>
    <d v="2026-03-03T18:05:48"/>
    <x v="46"/>
    <x v="4"/>
    <x v="20"/>
    <x v="46"/>
    <n v="170040.55499999991"/>
    <n v="206410.34037500015"/>
  </r>
  <r>
    <x v="47"/>
    <x v="31"/>
    <s v="CUST006"/>
    <s v="Lisa Anderson"/>
    <s v="P010"/>
    <s v="Keyboard"/>
    <x v="0"/>
    <n v="5"/>
    <n v="89.99"/>
    <s v="Cash"/>
    <s v="Central"/>
    <s v="Premium"/>
    <d v="2022-01-18T00:00:00"/>
    <n v="449.95"/>
    <d v="2026-03-03T18:05:48"/>
    <d v="2026-03-03T18:05:48"/>
    <x v="47"/>
    <x v="1"/>
    <x v="19"/>
    <x v="47"/>
    <n v="169824.59099999993"/>
    <n v="206148.18407500014"/>
  </r>
  <r>
    <x v="48"/>
    <x v="32"/>
    <s v="CUST012"/>
    <s v="Patricia Moore"/>
    <s v="P010"/>
    <s v="Keyboard"/>
    <x v="0"/>
    <n v="2"/>
    <n v="89.99"/>
    <s v="Credit Card"/>
    <s v="South"/>
    <s v="Premium"/>
    <d v="2021-10-02T00:00:00"/>
    <n v="179.98"/>
    <d v="2026-03-03T18:05:48"/>
    <d v="2026-03-03T18:05:48"/>
    <x v="48"/>
    <x v="2"/>
    <x v="28"/>
    <x v="48"/>
    <n v="169419.63599999991"/>
    <n v="205656.61370000013"/>
  </r>
  <r>
    <x v="49"/>
    <x v="32"/>
    <s v="CUST023"/>
    <s v="Paul Baker"/>
    <s v="P001"/>
    <s v="Laptop"/>
    <x v="0"/>
    <n v="5"/>
    <n v="899.99"/>
    <s v="Credit Card"/>
    <s v="South"/>
    <s v="Standard"/>
    <d v="2023-02-17T00:00:00"/>
    <n v="4499.95"/>
    <d v="2026-03-03T18:05:48"/>
    <d v="2026-03-03T18:05:48"/>
    <x v="49"/>
    <x v="1"/>
    <x v="29"/>
    <x v="49"/>
    <n v="169257.65399999989"/>
    <n v="205459.98555000016"/>
  </r>
  <r>
    <x v="50"/>
    <x v="32"/>
    <s v="CUST029"/>
    <s v="Edward Mitchell"/>
    <s v="P001"/>
    <s v="Laptop"/>
    <x v="0"/>
    <n v="5"/>
    <n v="899.99"/>
    <s v="PayPal"/>
    <s v="East"/>
    <s v="Premium"/>
    <d v="2023-12-18T00:00:00"/>
    <n v="4499.95"/>
    <d v="2026-03-03T18:05:48"/>
    <d v="2026-03-03T18:05:48"/>
    <x v="50"/>
    <x v="1"/>
    <x v="29"/>
    <x v="50"/>
    <n v="165207.69899999996"/>
    <n v="200543.79017500015"/>
  </r>
  <r>
    <x v="51"/>
    <x v="33"/>
    <s v="CUST028"/>
    <s v="Betty Campbell"/>
    <s v="P005"/>
    <s v="Blender"/>
    <x v="1"/>
    <n v="1"/>
    <n v="59.99"/>
    <s v="Debit Card"/>
    <s v="West"/>
    <s v="Premium"/>
    <d v="2023-09-21T00:00:00"/>
    <n v="59.99"/>
    <d v="2026-03-03T18:05:48"/>
    <d v="2026-03-03T18:05:48"/>
    <x v="51"/>
    <x v="3"/>
    <x v="30"/>
    <x v="51"/>
    <n v="161157.74399999998"/>
    <n v="195627.59480000011"/>
  </r>
  <r>
    <x v="52"/>
    <x v="33"/>
    <s v="CUST008"/>
    <s v="Jennifer Taylor"/>
    <s v="P007"/>
    <s v="Desk"/>
    <x v="2"/>
    <n v="2"/>
    <n v="299.99"/>
    <s v="Debit Card"/>
    <s v="East"/>
    <s v="Standard"/>
    <d v="2023-11-23T00:00:00"/>
    <n v="599.98"/>
    <d v="2026-03-03T18:05:48"/>
    <d v="2026-03-03T18:05:48"/>
    <x v="52"/>
    <x v="2"/>
    <x v="31"/>
    <x v="52"/>
    <n v="161103.75299999997"/>
    <n v="195562.0557250001"/>
  </r>
  <r>
    <x v="53"/>
    <x v="34"/>
    <s v="CUST049"/>
    <s v="Raymond Ross"/>
    <s v="P010"/>
    <s v="Keyboard"/>
    <x v="0"/>
    <n v="4"/>
    <n v="89.99"/>
    <s v="Debit Card"/>
    <s v="South"/>
    <s v="Basic"/>
    <d v="2023-12-21T00:00:00"/>
    <n v="359.96"/>
    <d v="2026-03-03T18:05:48"/>
    <d v="2026-03-03T18:05:48"/>
    <x v="53"/>
    <x v="4"/>
    <x v="32"/>
    <x v="53"/>
    <n v="160563.77099999998"/>
    <n v="194906.57757500012"/>
  </r>
  <r>
    <x v="54"/>
    <x v="35"/>
    <s v="CUST021"/>
    <s v="Kevin Scott"/>
    <s v="P004"/>
    <s v="Coffee Maker"/>
    <x v="1"/>
    <n v="1"/>
    <n v="79.989999999999995"/>
    <s v="PayPal"/>
    <s v="Central"/>
    <s v="Premium"/>
    <d v="2024-03-01T00:00:00"/>
    <n v="79.989999999999995"/>
    <d v="2026-03-03T18:05:48"/>
    <d v="2026-03-03T18:05:48"/>
    <x v="54"/>
    <x v="3"/>
    <x v="26"/>
    <x v="54"/>
    <n v="160239.80699999997"/>
    <n v="194513.32127500011"/>
  </r>
  <r>
    <x v="55"/>
    <x v="35"/>
    <s v="CUST009"/>
    <s v="Robert Thomas"/>
    <s v="P010"/>
    <s v="Keyboard"/>
    <x v="0"/>
    <n v="2"/>
    <n v="89.99"/>
    <s v="Cash"/>
    <s v="West"/>
    <s v="Basic"/>
    <d v="2021-08-30T00:00:00"/>
    <n v="179.98"/>
    <d v="2026-03-03T18:05:48"/>
    <d v="2026-03-03T18:05:48"/>
    <x v="55"/>
    <x v="2"/>
    <x v="28"/>
    <x v="55"/>
    <n v="160167.81599999999"/>
    <n v="194425.93220000013"/>
  </r>
  <r>
    <x v="56"/>
    <x v="36"/>
    <s v="CUST046"/>
    <s v="Kathleen Bennett"/>
    <s v="P002"/>
    <s v="Smartphone"/>
    <x v="0"/>
    <n v="3"/>
    <n v="699.99"/>
    <s v="Credit Card"/>
    <s v="East"/>
    <s v="Premium"/>
    <d v="2023-06-25T00:00:00"/>
    <n v="2099.9699999999998"/>
    <d v="2026-03-03T18:05:48"/>
    <d v="2026-03-03T18:05:48"/>
    <x v="56"/>
    <x v="0"/>
    <x v="7"/>
    <x v="56"/>
    <n v="160005.83399999997"/>
    <n v="194229.30405000012"/>
  </r>
  <r>
    <x v="57"/>
    <x v="36"/>
    <s v="CUST012"/>
    <s v="Patricia Moore"/>
    <s v="P001"/>
    <s v="Laptop"/>
    <x v="0"/>
    <n v="4"/>
    <n v="899.99"/>
    <s v="Credit Card"/>
    <s v="East"/>
    <s v="Premium"/>
    <d v="2023-03-08T00:00:00"/>
    <n v="3599.96"/>
    <d v="2026-03-03T18:05:48"/>
    <d v="2026-03-03T18:05:48"/>
    <x v="57"/>
    <x v="4"/>
    <x v="11"/>
    <x v="57"/>
    <n v="158115.86099999998"/>
    <n v="191935.08682500012"/>
  </r>
  <r>
    <x v="58"/>
    <x v="37"/>
    <s v="CUST030"/>
    <s v="Helen Roberts"/>
    <s v="P008"/>
    <s v="Bookshelf"/>
    <x v="2"/>
    <n v="1"/>
    <n v="149.99"/>
    <s v="PayPal"/>
    <s v="East"/>
    <s v="Basic"/>
    <d v="2022-10-17T00:00:00"/>
    <n v="149.99"/>
    <d v="2026-03-03T18:05:48"/>
    <d v="2026-03-03T18:05:48"/>
    <x v="58"/>
    <x v="3"/>
    <x v="5"/>
    <x v="58"/>
    <n v="154875.89700000003"/>
    <n v="188002.1305250001"/>
  </r>
  <r>
    <x v="59"/>
    <x v="38"/>
    <s v="CUST002"/>
    <s v="Emma Wilson"/>
    <s v="P010"/>
    <s v="Keyboard"/>
    <x v="0"/>
    <n v="2"/>
    <n v="89.99"/>
    <s v="PayPal"/>
    <s v="Central"/>
    <s v="Premium"/>
    <d v="2023-12-15T00:00:00"/>
    <n v="179.98"/>
    <d v="2026-03-03T18:05:48"/>
    <d v="2026-03-03T18:05:48"/>
    <x v="59"/>
    <x v="2"/>
    <x v="28"/>
    <x v="59"/>
    <n v="154740.90600000002"/>
    <n v="187838.26645000011"/>
  </r>
  <r>
    <x v="60"/>
    <x v="39"/>
    <s v="CUST017"/>
    <s v="Charles Allen"/>
    <s v="P010"/>
    <s v="Keyboard"/>
    <x v="0"/>
    <n v="1"/>
    <n v="89.99"/>
    <s v="PayPal"/>
    <s v="West"/>
    <s v="Standard"/>
    <d v="2022-08-29T00:00:00"/>
    <n v="89.99"/>
    <d v="2026-03-03T18:05:48"/>
    <d v="2026-03-03T18:05:48"/>
    <x v="60"/>
    <x v="3"/>
    <x v="27"/>
    <x v="60"/>
    <n v="154578.92400000003"/>
    <n v="187641.63830000011"/>
  </r>
  <r>
    <x v="61"/>
    <x v="40"/>
    <s v="CUST022"/>
    <s v="Susan Green"/>
    <s v="P010"/>
    <s v="Keyboard"/>
    <x v="0"/>
    <n v="1"/>
    <n v="89.99"/>
    <s v="Cash"/>
    <s v="South"/>
    <s v="Standard"/>
    <d v="2022-02-19T00:00:00"/>
    <n v="89.99"/>
    <d v="2026-03-03T18:05:48"/>
    <d v="2026-03-03T18:05:48"/>
    <x v="61"/>
    <x v="3"/>
    <x v="27"/>
    <x v="61"/>
    <n v="154497.93300000002"/>
    <n v="187543.32422500013"/>
  </r>
  <r>
    <x v="62"/>
    <x v="40"/>
    <s v="CUST007"/>
    <s v="David Martinez"/>
    <s v="P004"/>
    <s v="Coffee Maker"/>
    <x v="1"/>
    <n v="5"/>
    <n v="79.989999999999995"/>
    <s v="Debit Card"/>
    <s v="Central"/>
    <s v="Basic"/>
    <d v="2023-02-24T00:00:00"/>
    <n v="399.95"/>
    <d v="2026-03-03T18:05:48"/>
    <d v="2026-03-03T18:05:48"/>
    <x v="62"/>
    <x v="1"/>
    <x v="33"/>
    <x v="62"/>
    <n v="154416.94200000001"/>
    <n v="187445.01015000013"/>
  </r>
  <r>
    <x v="63"/>
    <x v="41"/>
    <s v="CUST020"/>
    <s v="Margaret Wright"/>
    <s v="P008"/>
    <s v="Bookshelf"/>
    <x v="2"/>
    <n v="1"/>
    <n v="149.99"/>
    <s v="PayPal"/>
    <s v="North"/>
    <s v="Basic"/>
    <d v="2021-08-13T00:00:00"/>
    <n v="149.99"/>
    <d v="2026-03-03T18:05:48"/>
    <d v="2026-03-03T18:05:48"/>
    <x v="63"/>
    <x v="3"/>
    <x v="5"/>
    <x v="63"/>
    <n v="154056.98700000002"/>
    <n v="187008.06477500012"/>
  </r>
  <r>
    <x v="64"/>
    <x v="41"/>
    <s v="CUST003"/>
    <s v="Michael Brown"/>
    <s v="P002"/>
    <s v="Smartphone"/>
    <x v="0"/>
    <n v="2"/>
    <n v="699.99"/>
    <s v="PayPal"/>
    <s v="East"/>
    <s v="Premium"/>
    <d v="2024-04-07T00:00:00"/>
    <n v="1399.98"/>
    <d v="2026-03-03T18:05:48"/>
    <d v="2026-03-03T18:05:48"/>
    <x v="64"/>
    <x v="2"/>
    <x v="10"/>
    <x v="64"/>
    <n v="153921.99600000001"/>
    <n v="186844.20070000013"/>
  </r>
  <r>
    <x v="65"/>
    <x v="41"/>
    <s v="CUST018"/>
    <s v="Barbara Young"/>
    <s v="P010"/>
    <s v="Keyboard"/>
    <x v="0"/>
    <n v="5"/>
    <n v="89.99"/>
    <s v="Debit Card"/>
    <s v="North"/>
    <s v="Premium"/>
    <d v="2023-08-23T00:00:00"/>
    <n v="449.95"/>
    <d v="2026-03-03T18:05:48"/>
    <d v="2026-03-03T18:05:48"/>
    <x v="65"/>
    <x v="1"/>
    <x v="19"/>
    <x v="65"/>
    <n v="152662.014"/>
    <n v="185314.72255000012"/>
  </r>
  <r>
    <x v="66"/>
    <x v="42"/>
    <s v="CUST049"/>
    <s v="Raymond Ross"/>
    <s v="P005"/>
    <s v="Blender"/>
    <x v="1"/>
    <n v="4"/>
    <n v="59.99"/>
    <s v="Cash"/>
    <s v="South"/>
    <s v="Standard"/>
    <d v="2021-11-09T00:00:00"/>
    <n v="239.96"/>
    <d v="2026-03-03T18:05:48"/>
    <d v="2026-03-03T18:05:48"/>
    <x v="66"/>
    <x v="4"/>
    <x v="20"/>
    <x v="66"/>
    <n v="152257.05900000001"/>
    <n v="184823.15217500011"/>
  </r>
  <r>
    <x v="67"/>
    <x v="43"/>
    <s v="CUST013"/>
    <s v="Joseph Jackson"/>
    <s v="P003"/>
    <s v="Headphones"/>
    <x v="0"/>
    <n v="1"/>
    <n v="149.99"/>
    <s v="Cash"/>
    <s v="Central"/>
    <s v="Standard"/>
    <d v="2022-12-14T00:00:00"/>
    <n v="149.99"/>
    <d v="2026-03-03T18:05:48"/>
    <d v="2026-03-03T18:05:48"/>
    <x v="67"/>
    <x v="3"/>
    <x v="5"/>
    <x v="67"/>
    <n v="152041.095"/>
    <n v="184560.99587500011"/>
  </r>
  <r>
    <x v="68"/>
    <x v="43"/>
    <s v="CUST033"/>
    <s v="Frank Torres"/>
    <s v="P007"/>
    <s v="Desk"/>
    <x v="2"/>
    <n v="1"/>
    <n v="299.99"/>
    <s v="Credit Card"/>
    <s v="North"/>
    <s v="Premium"/>
    <d v="2022-11-26T00:00:00"/>
    <n v="299.99"/>
    <d v="2026-03-03T18:05:48"/>
    <d v="2026-03-03T18:05:48"/>
    <x v="68"/>
    <x v="3"/>
    <x v="34"/>
    <x v="68"/>
    <n v="151906.10400000002"/>
    <n v="184397.13180000012"/>
  </r>
  <r>
    <x v="69"/>
    <x v="44"/>
    <s v="CUST033"/>
    <s v="Frank Torres"/>
    <s v="P006"/>
    <s v="Office Chair"/>
    <x v="2"/>
    <n v="2"/>
    <n v="199.99"/>
    <s v="Cash"/>
    <s v="North"/>
    <s v="Basic"/>
    <d v="2021-12-11T00:00:00"/>
    <n v="399.98"/>
    <d v="2026-03-03T18:05:48"/>
    <d v="2026-03-03T18:05:48"/>
    <x v="69"/>
    <x v="2"/>
    <x v="35"/>
    <x v="69"/>
    <n v="151636.11300000004"/>
    <n v="184069.39272500013"/>
  </r>
  <r>
    <x v="70"/>
    <x v="45"/>
    <s v="CUST047"/>
    <s v="Gerald Murphy"/>
    <s v="P005"/>
    <s v="Blender"/>
    <x v="1"/>
    <n v="3"/>
    <n v="59.99"/>
    <s v="Credit Card"/>
    <s v="West"/>
    <s v="Basic"/>
    <d v="2023-07-23T00:00:00"/>
    <n v="179.97"/>
    <d v="2026-03-03T18:05:48"/>
    <d v="2026-03-03T18:05:48"/>
    <x v="70"/>
    <x v="0"/>
    <x v="1"/>
    <x v="70"/>
    <n v="151276.13100000005"/>
    <n v="183632.41457500012"/>
  </r>
  <r>
    <x v="71"/>
    <x v="45"/>
    <s v="CUST041"/>
    <s v="Peter Richardson"/>
    <s v="P008"/>
    <s v="Bookshelf"/>
    <x v="2"/>
    <n v="3"/>
    <n v="149.99"/>
    <s v="Cash"/>
    <s v="Central"/>
    <s v="Premium"/>
    <d v="2023-09-30T00:00:00"/>
    <n v="449.97"/>
    <d v="2026-03-03T18:05:48"/>
    <d v="2026-03-03T18:05:48"/>
    <x v="71"/>
    <x v="0"/>
    <x v="6"/>
    <x v="71"/>
    <n v="151114.15800000005"/>
    <n v="183435.79735000012"/>
  </r>
  <r>
    <x v="72"/>
    <x v="46"/>
    <s v="CUST026"/>
    <s v="Karen Hill"/>
    <s v="P006"/>
    <s v="Office Chair"/>
    <x v="2"/>
    <n v="3"/>
    <n v="199.99"/>
    <s v="Cash"/>
    <s v="North"/>
    <s v="Premium"/>
    <d v="2023-11-24T00:00:00"/>
    <n v="599.97"/>
    <d v="2026-03-03T18:05:48"/>
    <d v="2026-03-03T18:05:48"/>
    <x v="72"/>
    <x v="0"/>
    <x v="24"/>
    <x v="72"/>
    <n v="150709.18500000006"/>
    <n v="182944.20512500012"/>
  </r>
  <r>
    <x v="73"/>
    <x v="47"/>
    <s v="CUST040"/>
    <s v="Sharon Butler"/>
    <s v="P001"/>
    <s v="Laptop"/>
    <x v="0"/>
    <n v="1"/>
    <n v="899.99"/>
    <s v="Cash"/>
    <s v="Central"/>
    <s v="Standard"/>
    <d v="2023-09-10T00:00:00"/>
    <n v="899.99"/>
    <d v="2026-03-03T18:05:48"/>
    <d v="2026-03-03T18:05:48"/>
    <x v="73"/>
    <x v="3"/>
    <x v="8"/>
    <x v="73"/>
    <n v="150169.21200000006"/>
    <n v="182288.73790000012"/>
  </r>
  <r>
    <x v="74"/>
    <x v="48"/>
    <s v="CUST013"/>
    <s v="Joseph Jackson"/>
    <s v="P001"/>
    <s v="Laptop"/>
    <x v="0"/>
    <n v="5"/>
    <n v="899.99"/>
    <s v="Debit Card"/>
    <s v="South"/>
    <s v="Standard"/>
    <d v="2022-12-04T00:00:00"/>
    <n v="4499.95"/>
    <d v="2026-03-03T18:05:48"/>
    <d v="2026-03-03T18:05:48"/>
    <x v="74"/>
    <x v="1"/>
    <x v="29"/>
    <x v="74"/>
    <n v="149359.22100000008"/>
    <n v="181305.49882500013"/>
  </r>
  <r>
    <x v="75"/>
    <x v="49"/>
    <s v="CUST007"/>
    <s v="David Martinez"/>
    <s v="P005"/>
    <s v="Blender"/>
    <x v="1"/>
    <n v="2"/>
    <n v="59.99"/>
    <s v="Cash"/>
    <s v="North"/>
    <s v="Standard"/>
    <d v="2023-08-14T00:00:00"/>
    <n v="119.98"/>
    <d v="2026-03-03T18:05:48"/>
    <d v="2026-03-03T18:05:48"/>
    <x v="75"/>
    <x v="2"/>
    <x v="3"/>
    <x v="75"/>
    <n v="145309.26600000009"/>
    <n v="176389.30345000012"/>
  </r>
  <r>
    <x v="76"/>
    <x v="49"/>
    <s v="CUST047"/>
    <s v="Gerald Murphy"/>
    <s v="P009"/>
    <s v="Monitor"/>
    <x v="0"/>
    <n v="4"/>
    <n v="249.99"/>
    <s v="Debit Card"/>
    <s v="Central"/>
    <s v="Standard"/>
    <d v="2023-07-20T00:00:00"/>
    <n v="999.96"/>
    <d v="2026-03-03T18:05:48"/>
    <d v="2026-03-03T18:05:48"/>
    <x v="76"/>
    <x v="4"/>
    <x v="14"/>
    <x v="76"/>
    <n v="145201.2840000001"/>
    <n v="176258.22530000014"/>
  </r>
  <r>
    <x v="77"/>
    <x v="50"/>
    <s v="CUST018"/>
    <s v="Barbara Young"/>
    <s v="P009"/>
    <s v="Monitor"/>
    <x v="0"/>
    <n v="2"/>
    <n v="249.99"/>
    <s v="Cash"/>
    <s v="North"/>
    <s v="Premium"/>
    <d v="2023-08-26T00:00:00"/>
    <n v="499.98"/>
    <d v="2026-03-03T18:05:48"/>
    <d v="2026-03-03T18:05:48"/>
    <x v="77"/>
    <x v="2"/>
    <x v="36"/>
    <x v="77"/>
    <n v="144301.32000000012"/>
    <n v="175165.76900000009"/>
  </r>
  <r>
    <x v="78"/>
    <x v="50"/>
    <s v="CUST019"/>
    <s v="Daniel King"/>
    <s v="P007"/>
    <s v="Desk"/>
    <x v="2"/>
    <n v="1"/>
    <n v="299.99"/>
    <s v="Cash"/>
    <s v="South"/>
    <s v="Basic"/>
    <d v="2023-02-25T00:00:00"/>
    <n v="299.99"/>
    <d v="2026-03-03T18:05:48"/>
    <d v="2026-03-03T18:05:48"/>
    <x v="78"/>
    <x v="3"/>
    <x v="34"/>
    <x v="78"/>
    <n v="143851.33800000011"/>
    <n v="174619.54085000008"/>
  </r>
  <r>
    <x v="79"/>
    <x v="51"/>
    <s v="CUST025"/>
    <s v="Mark Carter"/>
    <s v="P010"/>
    <s v="Keyboard"/>
    <x v="0"/>
    <n v="2"/>
    <n v="89.99"/>
    <s v="PayPal"/>
    <s v="South"/>
    <s v="Basic"/>
    <d v="2023-02-19T00:00:00"/>
    <n v="179.98"/>
    <d v="2026-03-03T18:05:48"/>
    <d v="2026-03-03T18:05:48"/>
    <x v="79"/>
    <x v="2"/>
    <x v="28"/>
    <x v="79"/>
    <n v="143581.34700000013"/>
    <n v="174291.80177500009"/>
  </r>
  <r>
    <x v="80"/>
    <x v="51"/>
    <s v="CUST019"/>
    <s v="Daniel King"/>
    <s v="P007"/>
    <s v="Desk"/>
    <x v="2"/>
    <n v="3"/>
    <n v="299.99"/>
    <s v="Cash"/>
    <s v="Central"/>
    <s v="Basic"/>
    <d v="2022-06-20T00:00:00"/>
    <n v="899.97"/>
    <d v="2026-03-03T18:05:48"/>
    <d v="2026-03-03T18:05:48"/>
    <x v="80"/>
    <x v="0"/>
    <x v="23"/>
    <x v="80"/>
    <n v="143419.36500000011"/>
    <n v="174095.17362500008"/>
  </r>
  <r>
    <x v="81"/>
    <x v="52"/>
    <s v="CUST025"/>
    <s v="Mark Carter"/>
    <s v="P002"/>
    <s v="Smartphone"/>
    <x v="0"/>
    <n v="2"/>
    <n v="699.99"/>
    <s v="Credit Card"/>
    <s v="North"/>
    <s v="Premium"/>
    <d v="2023-03-14T00:00:00"/>
    <n v="1399.98"/>
    <d v="2026-03-03T18:05:48"/>
    <d v="2026-03-03T18:05:48"/>
    <x v="81"/>
    <x v="2"/>
    <x v="10"/>
    <x v="81"/>
    <n v="142609.39200000011"/>
    <n v="173111.95640000008"/>
  </r>
  <r>
    <x v="82"/>
    <x v="53"/>
    <s v="CUST030"/>
    <s v="Helen Roberts"/>
    <s v="P001"/>
    <s v="Laptop"/>
    <x v="0"/>
    <n v="4"/>
    <n v="899.99"/>
    <s v="Debit Card"/>
    <s v="South"/>
    <s v="Standard"/>
    <d v="2021-11-23T00:00:00"/>
    <n v="3599.96"/>
    <d v="2026-03-03T18:05:48"/>
    <d v="2026-03-03T18:05:48"/>
    <x v="82"/>
    <x v="4"/>
    <x v="11"/>
    <x v="82"/>
    <n v="141349.41000000009"/>
    <n v="171582.4782500001"/>
  </r>
  <r>
    <x v="83"/>
    <x v="54"/>
    <s v="CUST016"/>
    <s v="Elizabeth Hall"/>
    <s v="P008"/>
    <s v="Bookshelf"/>
    <x v="2"/>
    <n v="2"/>
    <n v="149.99"/>
    <s v="Credit Card"/>
    <s v="West"/>
    <s v="Basic"/>
    <d v="2021-12-12T00:00:00"/>
    <n v="299.98"/>
    <d v="2026-03-03T18:05:48"/>
    <d v="2026-03-03T18:05:48"/>
    <x v="83"/>
    <x v="2"/>
    <x v="22"/>
    <x v="83"/>
    <n v="138109.44600000008"/>
    <n v="167649.52195000008"/>
  </r>
  <r>
    <x v="84"/>
    <x v="55"/>
    <s v="CUST044"/>
    <s v="Cynthia Price"/>
    <s v="P008"/>
    <s v="Bookshelf"/>
    <x v="2"/>
    <n v="2"/>
    <n v="149.99"/>
    <s v="Debit Card"/>
    <s v="East"/>
    <s v="Standard"/>
    <d v="2022-04-16T00:00:00"/>
    <n v="299.98"/>
    <d v="2026-03-03T18:05:48"/>
    <d v="2026-03-03T18:05:48"/>
    <x v="84"/>
    <x v="2"/>
    <x v="22"/>
    <x v="84"/>
    <n v="137839.46400000007"/>
    <n v="167321.79380000007"/>
  </r>
  <r>
    <x v="85"/>
    <x v="56"/>
    <s v="CUST010"/>
    <s v="Maria Garcia"/>
    <s v="P010"/>
    <s v="Keyboard"/>
    <x v="0"/>
    <n v="1"/>
    <n v="89.99"/>
    <s v="Credit Card"/>
    <s v="North"/>
    <s v="Standard"/>
    <d v="2024-04-11T00:00:00"/>
    <n v="89.99"/>
    <d v="2026-03-03T18:05:48"/>
    <d v="2026-03-03T18:05:48"/>
    <x v="85"/>
    <x v="3"/>
    <x v="27"/>
    <x v="85"/>
    <n v="137569.48200000008"/>
    <n v="166994.06565000009"/>
  </r>
  <r>
    <x v="86"/>
    <x v="57"/>
    <s v="CUST025"/>
    <s v="Mark Carter"/>
    <s v="P007"/>
    <s v="Desk"/>
    <x v="2"/>
    <n v="5"/>
    <n v="299.99"/>
    <s v="Credit Card"/>
    <s v="North"/>
    <s v="Basic"/>
    <d v="2023-02-08T00:00:00"/>
    <n v="1499.95"/>
    <d v="2026-03-03T18:05:48"/>
    <d v="2026-03-03T18:05:48"/>
    <x v="86"/>
    <x v="1"/>
    <x v="17"/>
    <x v="86"/>
    <n v="137488.49100000007"/>
    <n v="166895.75157500009"/>
  </r>
  <r>
    <x v="87"/>
    <x v="58"/>
    <s v="CUST007"/>
    <s v="David Martinez"/>
    <s v="P003"/>
    <s v="Headphones"/>
    <x v="0"/>
    <n v="4"/>
    <n v="149.99"/>
    <s v="Debit Card"/>
    <s v="South"/>
    <s v="Premium"/>
    <d v="2022-09-16T00:00:00"/>
    <n v="599.96"/>
    <d v="2026-03-03T18:05:48"/>
    <d v="2026-03-03T18:05:48"/>
    <x v="87"/>
    <x v="4"/>
    <x v="9"/>
    <x v="87"/>
    <n v="136138.53600000011"/>
    <n v="165257.05620000008"/>
  </r>
  <r>
    <x v="88"/>
    <x v="58"/>
    <s v="CUST020"/>
    <s v="Margaret Wright"/>
    <s v="P009"/>
    <s v="Monitor"/>
    <x v="0"/>
    <n v="5"/>
    <n v="249.99"/>
    <s v="PayPal"/>
    <s v="East"/>
    <s v="Premium"/>
    <d v="2022-08-09T00:00:00"/>
    <n v="1249.95"/>
    <d v="2026-03-03T18:05:48"/>
    <d v="2026-03-03T18:05:48"/>
    <x v="88"/>
    <x v="1"/>
    <x v="16"/>
    <x v="88"/>
    <n v="135598.57200000013"/>
    <n v="164601.59990000009"/>
  </r>
  <r>
    <x v="89"/>
    <x v="58"/>
    <s v="CUST026"/>
    <s v="Karen Hill"/>
    <s v="P009"/>
    <s v="Monitor"/>
    <x v="0"/>
    <n v="3"/>
    <n v="249.99"/>
    <s v="PayPal"/>
    <s v="North"/>
    <s v="Premium"/>
    <d v="2021-09-26T00:00:00"/>
    <n v="749.97"/>
    <d v="2026-03-03T18:05:48"/>
    <d v="2026-03-03T18:05:48"/>
    <x v="89"/>
    <x v="0"/>
    <x v="0"/>
    <x v="89"/>
    <n v="134473.61700000011"/>
    <n v="163236.02952500011"/>
  </r>
  <r>
    <x v="90"/>
    <x v="58"/>
    <s v="CUST046"/>
    <s v="Kathleen Bennett"/>
    <s v="P006"/>
    <s v="Office Chair"/>
    <x v="2"/>
    <n v="4"/>
    <n v="199.99"/>
    <s v="Cash"/>
    <s v="North"/>
    <s v="Standard"/>
    <d v="2021-09-19T00:00:00"/>
    <n v="799.96"/>
    <d v="2026-03-03T18:05:48"/>
    <d v="2026-03-03T18:05:48"/>
    <x v="90"/>
    <x v="4"/>
    <x v="37"/>
    <x v="90"/>
    <n v="133798.64400000012"/>
    <n v="162416.68730000014"/>
  </r>
  <r>
    <x v="91"/>
    <x v="59"/>
    <s v="CUST028"/>
    <s v="Betty Campbell"/>
    <s v="P006"/>
    <s v="Office Chair"/>
    <x v="2"/>
    <n v="5"/>
    <n v="199.99"/>
    <s v="Cash"/>
    <s v="North"/>
    <s v="Premium"/>
    <d v="2023-03-06T00:00:00"/>
    <n v="999.95"/>
    <d v="2026-03-03T18:05:48"/>
    <d v="2026-03-03T18:05:48"/>
    <x v="91"/>
    <x v="1"/>
    <x v="21"/>
    <x v="91"/>
    <n v="133078.68000000011"/>
    <n v="161542.73100000012"/>
  </r>
  <r>
    <x v="92"/>
    <x v="60"/>
    <s v="CUST025"/>
    <s v="Mark Carter"/>
    <s v="P010"/>
    <s v="Keyboard"/>
    <x v="0"/>
    <n v="2"/>
    <n v="89.99"/>
    <s v="Cash"/>
    <s v="East"/>
    <s v="Premium"/>
    <d v="2023-02-15T00:00:00"/>
    <n v="179.98"/>
    <d v="2026-03-03T18:05:48"/>
    <d v="2026-03-03T18:05:48"/>
    <x v="92"/>
    <x v="2"/>
    <x v="28"/>
    <x v="92"/>
    <n v="132178.72500000012"/>
    <n v="160450.28562500011"/>
  </r>
  <r>
    <x v="93"/>
    <x v="61"/>
    <s v="CUST047"/>
    <s v="Gerald Murphy"/>
    <s v="P001"/>
    <s v="Laptop"/>
    <x v="0"/>
    <n v="5"/>
    <n v="899.99"/>
    <s v="Debit Card"/>
    <s v="East"/>
    <s v="Basic"/>
    <d v="2021-11-26T00:00:00"/>
    <n v="4499.95"/>
    <d v="2026-03-03T18:05:48"/>
    <d v="2026-03-03T18:05:48"/>
    <x v="93"/>
    <x v="1"/>
    <x v="29"/>
    <x v="93"/>
    <n v="132016.7430000001"/>
    <n v="160253.6574750001"/>
  </r>
  <r>
    <x v="94"/>
    <x v="61"/>
    <s v="CUST036"/>
    <s v="Nancy Collins"/>
    <s v="P003"/>
    <s v="Headphones"/>
    <x v="0"/>
    <n v="3"/>
    <n v="149.99"/>
    <s v="PayPal"/>
    <s v="East"/>
    <s v="Basic"/>
    <d v="2022-01-13T00:00:00"/>
    <n v="449.97"/>
    <d v="2026-03-03T18:05:48"/>
    <d v="2026-03-03T18:05:48"/>
    <x v="94"/>
    <x v="0"/>
    <x v="6"/>
    <x v="94"/>
    <n v="127966.78800000012"/>
    <n v="155337.46210000003"/>
  </r>
  <r>
    <x v="95"/>
    <x v="62"/>
    <s v="CUST044"/>
    <s v="Cynthia Price"/>
    <s v="P008"/>
    <s v="Bookshelf"/>
    <x v="2"/>
    <n v="5"/>
    <n v="149.99"/>
    <s v="Credit Card"/>
    <s v="Central"/>
    <s v="Basic"/>
    <d v="2024-01-19T00:00:00"/>
    <n v="749.95"/>
    <d v="2026-03-03T18:05:48"/>
    <d v="2026-03-03T18:05:48"/>
    <x v="95"/>
    <x v="1"/>
    <x v="2"/>
    <x v="95"/>
    <n v="127561.81500000012"/>
    <n v="154845.86987500003"/>
  </r>
  <r>
    <x v="96"/>
    <x v="63"/>
    <s v="CUST039"/>
    <s v="Lawrence Reed"/>
    <s v="P004"/>
    <s v="Coffee Maker"/>
    <x v="1"/>
    <n v="3"/>
    <n v="79.989999999999995"/>
    <s v="Cash"/>
    <s v="Central"/>
    <s v="Premium"/>
    <d v="2022-08-06T00:00:00"/>
    <n v="239.97"/>
    <d v="2026-03-03T18:05:48"/>
    <d v="2026-03-03T18:05:48"/>
    <x v="96"/>
    <x v="0"/>
    <x v="18"/>
    <x v="96"/>
    <n v="126886.86000000013"/>
    <n v="154026.54950000002"/>
  </r>
  <r>
    <x v="97"/>
    <x v="63"/>
    <s v="CUST035"/>
    <s v="Harry Morgan"/>
    <s v="P009"/>
    <s v="Monitor"/>
    <x v="0"/>
    <n v="2"/>
    <n v="249.99"/>
    <s v="Cash"/>
    <s v="South"/>
    <s v="Standard"/>
    <d v="2022-01-11T00:00:00"/>
    <n v="499.98"/>
    <d v="2026-03-03T18:05:48"/>
    <d v="2026-03-03T18:05:48"/>
    <x v="97"/>
    <x v="2"/>
    <x v="36"/>
    <x v="97"/>
    <n v="126670.88700000013"/>
    <n v="153764.38227500001"/>
  </r>
  <r>
    <x v="98"/>
    <x v="64"/>
    <s v="CUST047"/>
    <s v="Gerald Murphy"/>
    <s v="P002"/>
    <s v="Smartphone"/>
    <x v="0"/>
    <n v="1"/>
    <n v="699.99"/>
    <s v="Cash"/>
    <s v="Central"/>
    <s v="Premium"/>
    <d v="2021-10-28T00:00:00"/>
    <n v="699.99"/>
    <d v="2026-03-03T18:05:48"/>
    <d v="2026-03-03T18:05:48"/>
    <x v="98"/>
    <x v="3"/>
    <x v="38"/>
    <x v="98"/>
    <n v="126220.90500000012"/>
    <n v="153218.15412500003"/>
  </r>
  <r>
    <x v="99"/>
    <x v="64"/>
    <s v="CUST034"/>
    <s v="Carol Evans"/>
    <s v="P003"/>
    <s v="Headphones"/>
    <x v="0"/>
    <n v="3"/>
    <n v="149.99"/>
    <s v="Cash"/>
    <s v="West"/>
    <s v="Premium"/>
    <d v="2023-10-13T00:00:00"/>
    <n v="449.97"/>
    <d v="2026-03-03T18:05:48"/>
    <d v="2026-03-03T18:05:48"/>
    <x v="99"/>
    <x v="0"/>
    <x v="6"/>
    <x v="99"/>
    <n v="125590.91400000014"/>
    <n v="152453.41505000001"/>
  </r>
  <r>
    <x v="100"/>
    <x v="65"/>
    <s v="CUST032"/>
    <s v="Sandra Phillips"/>
    <s v="P002"/>
    <s v="Smartphone"/>
    <x v="0"/>
    <n v="2"/>
    <n v="699.99"/>
    <s v="Credit Card"/>
    <s v="North"/>
    <s v="Premium"/>
    <d v="2021-08-13T00:00:00"/>
    <n v="1399.98"/>
    <d v="2026-03-03T18:05:48"/>
    <d v="2026-03-03T18:05:48"/>
    <x v="100"/>
    <x v="2"/>
    <x v="10"/>
    <x v="100"/>
    <n v="125185.94100000014"/>
    <n v="151961.82282500001"/>
  </r>
  <r>
    <x v="101"/>
    <x v="66"/>
    <s v="CUST034"/>
    <s v="Carol Evans"/>
    <s v="P009"/>
    <s v="Monitor"/>
    <x v="0"/>
    <n v="1"/>
    <n v="249.99"/>
    <s v="Credit Card"/>
    <s v="West"/>
    <s v="Premium"/>
    <d v="2022-05-04T00:00:00"/>
    <n v="249.99"/>
    <d v="2026-03-03T18:05:48"/>
    <d v="2026-03-03T18:05:48"/>
    <x v="101"/>
    <x v="3"/>
    <x v="39"/>
    <x v="101"/>
    <n v="123925.95900000012"/>
    <n v="150432.34467500003"/>
  </r>
  <r>
    <x v="102"/>
    <x v="66"/>
    <s v="CUST023"/>
    <s v="Paul Baker"/>
    <s v="P009"/>
    <s v="Monitor"/>
    <x v="0"/>
    <n v="1"/>
    <n v="249.99"/>
    <s v="Debit Card"/>
    <s v="North"/>
    <s v="Premium"/>
    <d v="2024-02-10T00:00:00"/>
    <n v="249.99"/>
    <d v="2026-03-03T18:05:48"/>
    <d v="2026-03-03T18:05:48"/>
    <x v="102"/>
    <x v="3"/>
    <x v="39"/>
    <x v="102"/>
    <n v="123700.96800000014"/>
    <n v="150159.23060000001"/>
  </r>
  <r>
    <x v="103"/>
    <x v="67"/>
    <s v="CUST039"/>
    <s v="Lawrence Reed"/>
    <s v="P002"/>
    <s v="Smartphone"/>
    <x v="0"/>
    <n v="2"/>
    <n v="699.99"/>
    <s v="Debit Card"/>
    <s v="Central"/>
    <s v="Premium"/>
    <d v="2022-11-05T00:00:00"/>
    <n v="1399.98"/>
    <d v="2026-03-03T18:05:48"/>
    <d v="2026-03-03T18:05:48"/>
    <x v="103"/>
    <x v="2"/>
    <x v="10"/>
    <x v="103"/>
    <n v="123475.97700000013"/>
    <n v="149886.11652500002"/>
  </r>
  <r>
    <x v="104"/>
    <x v="68"/>
    <s v="CUST031"/>
    <s v="Steven Turner"/>
    <s v="P005"/>
    <s v="Blender"/>
    <x v="1"/>
    <n v="3"/>
    <n v="59.99"/>
    <s v="Credit Card"/>
    <s v="Central"/>
    <s v="Premium"/>
    <d v="2022-06-05T00:00:00"/>
    <n v="179.97"/>
    <d v="2026-03-03T18:05:48"/>
    <d v="2026-03-03T18:05:48"/>
    <x v="104"/>
    <x v="0"/>
    <x v="1"/>
    <x v="104"/>
    <n v="122215.99500000014"/>
    <n v="148356.63837500004"/>
  </r>
  <r>
    <x v="105"/>
    <x v="69"/>
    <s v="CUST002"/>
    <s v="Emma Wilson"/>
    <s v="P005"/>
    <s v="Blender"/>
    <x v="1"/>
    <n v="3"/>
    <n v="59.99"/>
    <s v="PayPal"/>
    <s v="East"/>
    <s v="Standard"/>
    <d v="2022-07-06T00:00:00"/>
    <n v="179.97"/>
    <d v="2026-03-03T18:05:48"/>
    <d v="2026-03-03T18:05:48"/>
    <x v="105"/>
    <x v="0"/>
    <x v="1"/>
    <x v="105"/>
    <n v="122054.02200000011"/>
    <n v="148160.02115000004"/>
  </r>
  <r>
    <x v="106"/>
    <x v="69"/>
    <s v="CUST008"/>
    <s v="Jennifer Taylor"/>
    <s v="P004"/>
    <s v="Coffee Maker"/>
    <x v="1"/>
    <n v="4"/>
    <n v="79.989999999999995"/>
    <s v="Cash"/>
    <s v="North"/>
    <s v="Basic"/>
    <d v="2021-11-30T00:00:00"/>
    <n v="319.95999999999998"/>
    <d v="2026-03-03T18:05:48"/>
    <d v="2026-03-03T18:05:48"/>
    <x v="106"/>
    <x v="4"/>
    <x v="40"/>
    <x v="106"/>
    <n v="121892.04900000012"/>
    <n v="147963.40392500005"/>
  </r>
  <r>
    <x v="107"/>
    <x v="70"/>
    <s v="CUST017"/>
    <s v="Charles Allen"/>
    <s v="P004"/>
    <s v="Coffee Maker"/>
    <x v="1"/>
    <n v="1"/>
    <n v="79.989999999999995"/>
    <s v="Cash"/>
    <s v="West"/>
    <s v="Basic"/>
    <d v="2022-05-12T00:00:00"/>
    <n v="79.989999999999995"/>
    <d v="2026-03-03T18:05:48"/>
    <d v="2026-03-03T18:05:48"/>
    <x v="107"/>
    <x v="3"/>
    <x v="26"/>
    <x v="107"/>
    <n v="121604.08500000014"/>
    <n v="147613.84762500002"/>
  </r>
  <r>
    <x v="108"/>
    <x v="71"/>
    <s v="CUST024"/>
    <s v="Dorothy Nelson"/>
    <s v="P007"/>
    <s v="Desk"/>
    <x v="2"/>
    <n v="3"/>
    <n v="299.99"/>
    <s v="Credit Card"/>
    <s v="Central"/>
    <s v="Premium"/>
    <d v="2021-10-25T00:00:00"/>
    <n v="899.97"/>
    <d v="2026-03-03T18:05:48"/>
    <d v="2026-03-03T18:05:48"/>
    <x v="108"/>
    <x v="0"/>
    <x v="23"/>
    <x v="108"/>
    <n v="121532.09400000013"/>
    <n v="147526.45855000004"/>
  </r>
  <r>
    <x v="109"/>
    <x v="72"/>
    <s v="CUST046"/>
    <s v="Kathleen Bennett"/>
    <s v="P010"/>
    <s v="Keyboard"/>
    <x v="0"/>
    <n v="2"/>
    <n v="89.99"/>
    <s v="Credit Card"/>
    <s v="South"/>
    <s v="Premium"/>
    <d v="2022-03-21T00:00:00"/>
    <n v="179.98"/>
    <d v="2026-03-03T18:05:48"/>
    <d v="2026-03-03T18:05:48"/>
    <x v="109"/>
    <x v="2"/>
    <x v="28"/>
    <x v="109"/>
    <n v="120722.12100000013"/>
    <n v="146543.24132500004"/>
  </r>
  <r>
    <x v="110"/>
    <x v="73"/>
    <s v="CUST042"/>
    <s v="Ruth Brooks"/>
    <s v="P003"/>
    <s v="Headphones"/>
    <x v="0"/>
    <n v="4"/>
    <n v="149.99"/>
    <s v="Cash"/>
    <s v="North"/>
    <s v="Basic"/>
    <d v="2022-12-14T00:00:00"/>
    <n v="599.96"/>
    <d v="2026-03-03T18:05:48"/>
    <d v="2026-03-03T18:05:48"/>
    <x v="110"/>
    <x v="4"/>
    <x v="9"/>
    <x v="110"/>
    <n v="120560.13900000014"/>
    <n v="146346.61317500003"/>
  </r>
  <r>
    <x v="111"/>
    <x v="74"/>
    <s v="CUST026"/>
    <s v="Karen Hill"/>
    <s v="P009"/>
    <s v="Monitor"/>
    <x v="0"/>
    <n v="2"/>
    <n v="249.99"/>
    <s v="PayPal"/>
    <s v="South"/>
    <s v="Basic"/>
    <d v="2023-03-08T00:00:00"/>
    <n v="499.98"/>
    <d v="2026-03-03T18:05:48"/>
    <d v="2026-03-03T18:05:48"/>
    <x v="111"/>
    <x v="2"/>
    <x v="36"/>
    <x v="111"/>
    <n v="120020.17500000013"/>
    <n v="145691.15687500004"/>
  </r>
  <r>
    <x v="112"/>
    <x v="74"/>
    <s v="CUST004"/>
    <s v="Sarah Davis"/>
    <s v="P006"/>
    <s v="Office Chair"/>
    <x v="2"/>
    <n v="4"/>
    <n v="199.99"/>
    <s v="Debit Card"/>
    <s v="East"/>
    <s v="Basic"/>
    <d v="2021-09-19T00:00:00"/>
    <n v="799.96"/>
    <d v="2026-03-03T18:05:48"/>
    <d v="2026-03-03T18:05:48"/>
    <x v="112"/>
    <x v="4"/>
    <x v="37"/>
    <x v="112"/>
    <n v="119570.19300000014"/>
    <n v="145144.92872500003"/>
  </r>
  <r>
    <x v="113"/>
    <x v="75"/>
    <s v="CUST019"/>
    <s v="Daniel King"/>
    <s v="P010"/>
    <s v="Keyboard"/>
    <x v="0"/>
    <n v="5"/>
    <n v="89.99"/>
    <s v="Credit Card"/>
    <s v="East"/>
    <s v="Premium"/>
    <d v="2021-09-07T00:00:00"/>
    <n v="449.95"/>
    <d v="2026-03-03T18:05:48"/>
    <d v="2026-03-03T18:05:48"/>
    <x v="113"/>
    <x v="1"/>
    <x v="19"/>
    <x v="113"/>
    <n v="118850.22900000014"/>
    <n v="144270.97242500004"/>
  </r>
  <r>
    <x v="114"/>
    <x v="75"/>
    <s v="CUST011"/>
    <s v="William White"/>
    <s v="P003"/>
    <s v="Headphones"/>
    <x v="0"/>
    <n v="1"/>
    <n v="149.99"/>
    <s v="PayPal"/>
    <s v="East"/>
    <s v="Standard"/>
    <d v="2021-10-13T00:00:00"/>
    <n v="149.99"/>
    <d v="2026-03-03T18:05:48"/>
    <d v="2026-03-03T18:05:48"/>
    <x v="114"/>
    <x v="3"/>
    <x v="5"/>
    <x v="114"/>
    <n v="118445.27400000015"/>
    <n v="143779.40205000006"/>
  </r>
  <r>
    <x v="115"/>
    <x v="75"/>
    <s v="CUST041"/>
    <s v="Peter Richardson"/>
    <s v="P002"/>
    <s v="Smartphone"/>
    <x v="0"/>
    <n v="4"/>
    <n v="699.99"/>
    <s v="PayPal"/>
    <s v="South"/>
    <s v="Basic"/>
    <d v="2022-02-26T00:00:00"/>
    <n v="2799.96"/>
    <d v="2026-03-03T18:05:48"/>
    <d v="2026-03-03T18:05:48"/>
    <x v="115"/>
    <x v="4"/>
    <x v="13"/>
    <x v="115"/>
    <n v="118310.28300000014"/>
    <n v="143615.53797500007"/>
  </r>
  <r>
    <x v="116"/>
    <x v="76"/>
    <s v="CUST032"/>
    <s v="Sandra Phillips"/>
    <s v="P001"/>
    <s v="Laptop"/>
    <x v="0"/>
    <n v="3"/>
    <n v="899.99"/>
    <s v="Credit Card"/>
    <s v="North"/>
    <s v="Standard"/>
    <d v="2023-08-19T00:00:00"/>
    <n v="2699.97"/>
    <d v="2026-03-03T18:05:48"/>
    <d v="2026-03-03T18:05:48"/>
    <x v="116"/>
    <x v="0"/>
    <x v="4"/>
    <x v="116"/>
    <n v="115790.31900000013"/>
    <n v="140556.58167500005"/>
  </r>
  <r>
    <x v="117"/>
    <x v="77"/>
    <s v="CUST014"/>
    <s v="Linda Martin"/>
    <s v="P008"/>
    <s v="Bookshelf"/>
    <x v="2"/>
    <n v="3"/>
    <n v="149.99"/>
    <s v="PayPal"/>
    <s v="East"/>
    <s v="Basic"/>
    <d v="2022-11-21T00:00:00"/>
    <n v="449.97"/>
    <d v="2026-03-03T18:05:48"/>
    <d v="2026-03-03T18:05:48"/>
    <x v="117"/>
    <x v="0"/>
    <x v="6"/>
    <x v="117"/>
    <n v="113360.34600000011"/>
    <n v="137606.86445000002"/>
  </r>
  <r>
    <x v="118"/>
    <x v="78"/>
    <s v="CUST012"/>
    <s v="Patricia Moore"/>
    <s v="P007"/>
    <s v="Desk"/>
    <x v="2"/>
    <n v="2"/>
    <n v="299.99"/>
    <s v="Debit Card"/>
    <s v="Central"/>
    <s v="Basic"/>
    <d v="2022-01-08T00:00:00"/>
    <n v="599.98"/>
    <d v="2026-03-03T18:05:48"/>
    <d v="2026-03-03T18:05:48"/>
    <x v="118"/>
    <x v="2"/>
    <x v="31"/>
    <x v="118"/>
    <n v="112955.37300000011"/>
    <n v="137115.27222500002"/>
  </r>
  <r>
    <x v="119"/>
    <x v="79"/>
    <s v="CUST015"/>
    <s v="Richard Lee"/>
    <s v="P006"/>
    <s v="Office Chair"/>
    <x v="2"/>
    <n v="1"/>
    <n v="199.99"/>
    <s v="Debit Card"/>
    <s v="East"/>
    <s v="Standard"/>
    <d v="2023-01-27T00:00:00"/>
    <n v="199.99"/>
    <d v="2026-03-03T18:05:48"/>
    <d v="2026-03-03T18:05:48"/>
    <x v="119"/>
    <x v="3"/>
    <x v="41"/>
    <x v="119"/>
    <n v="112415.39100000012"/>
    <n v="136459.79407500001"/>
  </r>
  <r>
    <x v="120"/>
    <x v="80"/>
    <s v="CUST003"/>
    <s v="Michael Brown"/>
    <s v="P007"/>
    <s v="Desk"/>
    <x v="2"/>
    <n v="4"/>
    <n v="299.99"/>
    <s v="Cash"/>
    <s v="Central"/>
    <s v="Premium"/>
    <d v="2021-09-21T00:00:00"/>
    <n v="1199.96"/>
    <d v="2026-03-03T18:05:48"/>
    <d v="2026-03-03T18:05:48"/>
    <x v="120"/>
    <x v="4"/>
    <x v="15"/>
    <x v="120"/>
    <n v="112235.40000000011"/>
    <n v="136241.30500000002"/>
  </r>
  <r>
    <x v="121"/>
    <x v="81"/>
    <s v="CUST010"/>
    <s v="Maria Garcia"/>
    <s v="P005"/>
    <s v="Blender"/>
    <x v="1"/>
    <n v="2"/>
    <n v="59.99"/>
    <s v="Credit Card"/>
    <s v="Central"/>
    <s v="Basic"/>
    <d v="2022-01-18T00:00:00"/>
    <n v="119.98"/>
    <d v="2026-03-03T18:05:48"/>
    <d v="2026-03-03T18:05:48"/>
    <x v="121"/>
    <x v="2"/>
    <x v="3"/>
    <x v="121"/>
    <n v="111155.4360000001"/>
    <n v="134930.34870000003"/>
  </r>
  <r>
    <x v="122"/>
    <x v="81"/>
    <s v="CUST032"/>
    <s v="Sandra Phillips"/>
    <s v="P003"/>
    <s v="Headphones"/>
    <x v="0"/>
    <n v="4"/>
    <n v="149.99"/>
    <s v="Credit Card"/>
    <s v="North"/>
    <s v="Premium"/>
    <d v="2023-05-30T00:00:00"/>
    <n v="599.96"/>
    <d v="2026-03-03T18:05:48"/>
    <d v="2026-03-03T18:05:48"/>
    <x v="122"/>
    <x v="4"/>
    <x v="9"/>
    <x v="122"/>
    <n v="111047.45400000011"/>
    <n v="134799.27055000002"/>
  </r>
  <r>
    <x v="123"/>
    <x v="82"/>
    <s v="CUST016"/>
    <s v="Elizabeth Hall"/>
    <s v="P002"/>
    <s v="Smartphone"/>
    <x v="0"/>
    <n v="2"/>
    <n v="699.99"/>
    <s v="Debit Card"/>
    <s v="East"/>
    <s v="Premium"/>
    <d v="2023-12-14T00:00:00"/>
    <n v="1399.98"/>
    <d v="2026-03-03T18:05:48"/>
    <d v="2026-03-03T18:05:48"/>
    <x v="123"/>
    <x v="2"/>
    <x v="10"/>
    <x v="123"/>
    <n v="110507.49000000011"/>
    <n v="134143.81425000002"/>
  </r>
  <r>
    <x v="124"/>
    <x v="82"/>
    <s v="CUST034"/>
    <s v="Carol Evans"/>
    <s v="P008"/>
    <s v="Bookshelf"/>
    <x v="2"/>
    <n v="3"/>
    <n v="149.99"/>
    <s v="Credit Card"/>
    <s v="South"/>
    <s v="Standard"/>
    <d v="2023-01-14T00:00:00"/>
    <n v="449.97"/>
    <d v="2026-03-03T18:05:48"/>
    <d v="2026-03-03T18:05:48"/>
    <x v="124"/>
    <x v="0"/>
    <x v="6"/>
    <x v="124"/>
    <n v="109247.50800000012"/>
    <n v="132614.33610000001"/>
  </r>
  <r>
    <x v="125"/>
    <x v="83"/>
    <s v="CUST019"/>
    <s v="Daniel King"/>
    <s v="P007"/>
    <s v="Desk"/>
    <x v="2"/>
    <n v="3"/>
    <n v="299.99"/>
    <s v="Credit Card"/>
    <s v="Central"/>
    <s v="Standard"/>
    <d v="2023-09-05T00:00:00"/>
    <n v="899.97"/>
    <d v="2026-03-03T18:05:48"/>
    <d v="2026-03-03T18:05:48"/>
    <x v="125"/>
    <x v="0"/>
    <x v="23"/>
    <x v="125"/>
    <n v="108842.53500000012"/>
    <n v="132122.74387500001"/>
  </r>
  <r>
    <x v="126"/>
    <x v="84"/>
    <s v="CUST027"/>
    <s v="George Adams"/>
    <s v="P001"/>
    <s v="Laptop"/>
    <x v="0"/>
    <n v="3"/>
    <n v="899.99"/>
    <s v="PayPal"/>
    <s v="West"/>
    <s v="Basic"/>
    <d v="2023-10-16T00:00:00"/>
    <n v="2699.97"/>
    <d v="2026-03-03T18:05:48"/>
    <d v="2026-03-03T18:05:48"/>
    <x v="126"/>
    <x v="0"/>
    <x v="4"/>
    <x v="126"/>
    <n v="108032.56200000009"/>
    <n v="131139.52665000001"/>
  </r>
  <r>
    <x v="127"/>
    <x v="85"/>
    <s v="CUST018"/>
    <s v="Barbara Young"/>
    <s v="P002"/>
    <s v="Smartphone"/>
    <x v="0"/>
    <n v="5"/>
    <n v="699.99"/>
    <s v="Cash"/>
    <s v="East"/>
    <s v="Standard"/>
    <d v="2023-03-23T00:00:00"/>
    <n v="3499.95"/>
    <d v="2026-03-03T18:05:48"/>
    <d v="2026-03-03T18:05:48"/>
    <x v="127"/>
    <x v="1"/>
    <x v="12"/>
    <x v="127"/>
    <n v="105602.58900000009"/>
    <n v="128189.809425"/>
  </r>
  <r>
    <x v="128"/>
    <x v="85"/>
    <s v="CUST049"/>
    <s v="Raymond Ross"/>
    <s v="P002"/>
    <s v="Smartphone"/>
    <x v="0"/>
    <n v="4"/>
    <n v="699.99"/>
    <s v="Credit Card"/>
    <s v="Central"/>
    <s v="Basic"/>
    <d v="2024-04-03T00:00:00"/>
    <n v="2799.96"/>
    <d v="2026-03-03T18:05:48"/>
    <d v="2026-03-03T18:05:48"/>
    <x v="128"/>
    <x v="4"/>
    <x v="13"/>
    <x v="128"/>
    <n v="102452.63400000009"/>
    <n v="124366.11405"/>
  </r>
  <r>
    <x v="129"/>
    <x v="85"/>
    <s v="CUST040"/>
    <s v="Sharon Butler"/>
    <s v="P001"/>
    <s v="Laptop"/>
    <x v="0"/>
    <n v="1"/>
    <n v="899.99"/>
    <s v="Credit Card"/>
    <s v="East"/>
    <s v="Standard"/>
    <d v="2024-03-18T00:00:00"/>
    <n v="899.99"/>
    <d v="2026-03-03T18:05:48"/>
    <d v="2026-03-03T18:05:48"/>
    <x v="129"/>
    <x v="3"/>
    <x v="8"/>
    <x v="129"/>
    <n v="99932.670000000086"/>
    <n v="121307.15775"/>
  </r>
  <r>
    <x v="130"/>
    <x v="86"/>
    <s v="CUST039"/>
    <s v="Lawrence Reed"/>
    <s v="P003"/>
    <s v="Headphones"/>
    <x v="0"/>
    <n v="2"/>
    <n v="149.99"/>
    <s v="Credit Card"/>
    <s v="West"/>
    <s v="Basic"/>
    <d v="2022-12-21T00:00:00"/>
    <n v="299.98"/>
    <d v="2026-03-03T18:05:48"/>
    <d v="2026-03-03T18:05:48"/>
    <x v="130"/>
    <x v="2"/>
    <x v="22"/>
    <x v="130"/>
    <n v="99122.679000000091"/>
    <n v="120323.91867499999"/>
  </r>
  <r>
    <x v="131"/>
    <x v="87"/>
    <s v="CUST039"/>
    <s v="Lawrence Reed"/>
    <s v="P010"/>
    <s v="Keyboard"/>
    <x v="0"/>
    <n v="3"/>
    <n v="89.99"/>
    <s v="PayPal"/>
    <s v="Central"/>
    <s v="Basic"/>
    <d v="2021-12-21T00:00:00"/>
    <n v="269.97000000000003"/>
    <d v="2026-03-03T18:05:48"/>
    <d v="2026-03-03T18:05:48"/>
    <x v="131"/>
    <x v="0"/>
    <x v="25"/>
    <x v="131"/>
    <n v="98852.697000000087"/>
    <n v="119996.190525"/>
  </r>
  <r>
    <x v="132"/>
    <x v="88"/>
    <s v="CUST046"/>
    <s v="Kathleen Bennett"/>
    <s v="P003"/>
    <s v="Headphones"/>
    <x v="0"/>
    <n v="2"/>
    <n v="149.99"/>
    <s v="PayPal"/>
    <s v="Central"/>
    <s v="Basic"/>
    <d v="2021-10-04T00:00:00"/>
    <n v="299.98"/>
    <d v="2026-03-03T18:05:48"/>
    <d v="2026-03-03T18:05:48"/>
    <x v="132"/>
    <x v="2"/>
    <x v="22"/>
    <x v="132"/>
    <n v="98609.724000000089"/>
    <n v="119701.24830000001"/>
  </r>
  <r>
    <x v="133"/>
    <x v="88"/>
    <s v="CUST004"/>
    <s v="Sarah Davis"/>
    <s v="P002"/>
    <s v="Smartphone"/>
    <x v="0"/>
    <n v="2"/>
    <n v="699.99"/>
    <s v="Cash"/>
    <s v="Central"/>
    <s v="Basic"/>
    <d v="2023-03-07T00:00:00"/>
    <n v="1399.98"/>
    <d v="2026-03-03T18:05:48"/>
    <d v="2026-03-03T18:05:48"/>
    <x v="133"/>
    <x v="2"/>
    <x v="10"/>
    <x v="133"/>
    <n v="98339.742000000086"/>
    <n v="119373.52015"/>
  </r>
  <r>
    <x v="134"/>
    <x v="89"/>
    <s v="CUST028"/>
    <s v="Betty Campbell"/>
    <s v="P002"/>
    <s v="Smartphone"/>
    <x v="0"/>
    <n v="5"/>
    <n v="699.99"/>
    <s v="Cash"/>
    <s v="North"/>
    <s v="Premium"/>
    <d v="2022-03-15T00:00:00"/>
    <n v="3499.95"/>
    <d v="2026-03-03T18:05:48"/>
    <d v="2026-03-03T18:05:48"/>
    <x v="134"/>
    <x v="1"/>
    <x v="12"/>
    <x v="134"/>
    <n v="97079.760000000082"/>
    <n v="117844.04199999999"/>
  </r>
  <r>
    <x v="135"/>
    <x v="90"/>
    <s v="CUST049"/>
    <s v="Raymond Ross"/>
    <s v="P010"/>
    <s v="Keyboard"/>
    <x v="0"/>
    <n v="3"/>
    <n v="89.99"/>
    <s v="Credit Card"/>
    <s v="North"/>
    <s v="Standard"/>
    <d v="2022-02-23T00:00:00"/>
    <n v="269.97000000000003"/>
    <d v="2026-03-03T18:05:48"/>
    <d v="2026-03-03T18:05:48"/>
    <x v="135"/>
    <x v="0"/>
    <x v="25"/>
    <x v="135"/>
    <n v="93929.805000000066"/>
    <n v="114020.34662499999"/>
  </r>
  <r>
    <x v="136"/>
    <x v="91"/>
    <s v="CUST023"/>
    <s v="Paul Baker"/>
    <s v="P009"/>
    <s v="Monitor"/>
    <x v="0"/>
    <n v="5"/>
    <n v="249.99"/>
    <s v="Credit Card"/>
    <s v="South"/>
    <s v="Standard"/>
    <d v="2022-11-16T00:00:00"/>
    <n v="1249.95"/>
    <d v="2026-03-03T18:05:48"/>
    <d v="2026-03-03T18:05:48"/>
    <x v="136"/>
    <x v="1"/>
    <x v="16"/>
    <x v="136"/>
    <n v="93686.832000000068"/>
    <n v="113725.4044"/>
  </r>
  <r>
    <x v="137"/>
    <x v="92"/>
    <s v="CUST026"/>
    <s v="Karen Hill"/>
    <s v="P007"/>
    <s v="Desk"/>
    <x v="2"/>
    <n v="3"/>
    <n v="299.99"/>
    <s v="Credit Card"/>
    <s v="South"/>
    <s v="Standard"/>
    <d v="2021-11-02T00:00:00"/>
    <n v="899.97"/>
    <d v="2026-03-03T18:05:48"/>
    <d v="2026-03-03T18:05:48"/>
    <x v="137"/>
    <x v="0"/>
    <x v="23"/>
    <x v="137"/>
    <n v="92561.877000000066"/>
    <n v="112359.83402499997"/>
  </r>
  <r>
    <x v="138"/>
    <x v="93"/>
    <s v="CUST012"/>
    <s v="Patricia Moore"/>
    <s v="P010"/>
    <s v="Keyboard"/>
    <x v="0"/>
    <n v="3"/>
    <n v="89.99"/>
    <s v="Credit Card"/>
    <s v="North"/>
    <s v="Premium"/>
    <d v="2021-08-12T00:00:00"/>
    <n v="269.97000000000003"/>
    <d v="2026-03-03T18:05:48"/>
    <d v="2026-03-03T18:05:48"/>
    <x v="138"/>
    <x v="0"/>
    <x v="25"/>
    <x v="138"/>
    <n v="91751.904000000082"/>
    <n v="111376.61679999997"/>
  </r>
  <r>
    <x v="139"/>
    <x v="94"/>
    <s v="CUST010"/>
    <s v="Maria Garcia"/>
    <s v="P008"/>
    <s v="Bookshelf"/>
    <x v="2"/>
    <n v="2"/>
    <n v="149.99"/>
    <s v="Credit Card"/>
    <s v="West"/>
    <s v="Premium"/>
    <d v="2022-10-14T00:00:00"/>
    <n v="299.98"/>
    <d v="2026-03-03T18:05:48"/>
    <d v="2026-03-03T18:05:48"/>
    <x v="139"/>
    <x v="2"/>
    <x v="22"/>
    <x v="139"/>
    <n v="91508.931000000084"/>
    <n v="111081.67457499998"/>
  </r>
  <r>
    <x v="140"/>
    <x v="95"/>
    <s v="CUST020"/>
    <s v="Margaret Wright"/>
    <s v="P009"/>
    <s v="Monitor"/>
    <x v="0"/>
    <n v="1"/>
    <n v="249.99"/>
    <s v="Credit Card"/>
    <s v="North"/>
    <s v="Premium"/>
    <d v="2022-09-24T00:00:00"/>
    <n v="249.99"/>
    <d v="2026-03-03T18:05:48"/>
    <d v="2026-03-03T18:05:48"/>
    <x v="140"/>
    <x v="3"/>
    <x v="39"/>
    <x v="140"/>
    <n v="91238.949000000066"/>
    <n v="110753.94642499997"/>
  </r>
  <r>
    <x v="141"/>
    <x v="96"/>
    <s v="CUST041"/>
    <s v="Peter Richardson"/>
    <s v="P003"/>
    <s v="Headphones"/>
    <x v="0"/>
    <n v="3"/>
    <n v="149.99"/>
    <s v="Cash"/>
    <s v="North"/>
    <s v="Basic"/>
    <d v="2022-07-27T00:00:00"/>
    <n v="449.97"/>
    <d v="2026-03-03T18:05:48"/>
    <d v="2026-03-03T18:05:48"/>
    <x v="141"/>
    <x v="0"/>
    <x v="6"/>
    <x v="141"/>
    <n v="91013.958000000071"/>
    <n v="110480.83234999998"/>
  </r>
  <r>
    <x v="142"/>
    <x v="96"/>
    <s v="CUST023"/>
    <s v="Paul Baker"/>
    <s v="P005"/>
    <s v="Blender"/>
    <x v="1"/>
    <n v="5"/>
    <n v="59.99"/>
    <s v="PayPal"/>
    <s v="West"/>
    <s v="Premium"/>
    <d v="2022-05-13T00:00:00"/>
    <n v="299.95"/>
    <d v="2026-03-03T18:05:48"/>
    <d v="2026-03-03T18:05:48"/>
    <x v="142"/>
    <x v="1"/>
    <x v="42"/>
    <x v="142"/>
    <n v="90608.985000000073"/>
    <n v="109989.24012499998"/>
  </r>
  <r>
    <x v="143"/>
    <x v="96"/>
    <s v="CUST012"/>
    <s v="Patricia Moore"/>
    <s v="P009"/>
    <s v="Monitor"/>
    <x v="0"/>
    <n v="4"/>
    <n v="249.99"/>
    <s v="Credit Card"/>
    <s v="West"/>
    <s v="Standard"/>
    <d v="2022-04-08T00:00:00"/>
    <n v="999.96"/>
    <d v="2026-03-03T18:05:48"/>
    <d v="2026-03-03T18:05:48"/>
    <x v="143"/>
    <x v="4"/>
    <x v="14"/>
    <x v="143"/>
    <n v="90339.030000000072"/>
    <n v="109661.54474999997"/>
  </r>
  <r>
    <x v="144"/>
    <x v="97"/>
    <s v="CUST004"/>
    <s v="Sarah Davis"/>
    <s v="P008"/>
    <s v="Bookshelf"/>
    <x v="2"/>
    <n v="5"/>
    <n v="149.99"/>
    <s v="PayPal"/>
    <s v="Central"/>
    <s v="Basic"/>
    <d v="2022-12-06T00:00:00"/>
    <n v="749.95"/>
    <d v="2026-03-03T18:05:48"/>
    <d v="2026-03-03T18:05:48"/>
    <x v="144"/>
    <x v="1"/>
    <x v="2"/>
    <x v="144"/>
    <n v="89439.066000000064"/>
    <n v="108569.08844999998"/>
  </r>
  <r>
    <x v="145"/>
    <x v="97"/>
    <s v="CUST027"/>
    <s v="George Adams"/>
    <s v="P005"/>
    <s v="Blender"/>
    <x v="1"/>
    <n v="3"/>
    <n v="59.99"/>
    <s v="Debit Card"/>
    <s v="South"/>
    <s v="Standard"/>
    <d v="2023-11-30T00:00:00"/>
    <n v="179.97"/>
    <d v="2026-03-03T18:05:48"/>
    <d v="2026-03-03T18:05:48"/>
    <x v="145"/>
    <x v="0"/>
    <x v="1"/>
    <x v="145"/>
    <n v="88764.111000000063"/>
    <n v="107749.768075"/>
  </r>
  <r>
    <x v="146"/>
    <x v="98"/>
    <s v="CUST032"/>
    <s v="Sandra Phillips"/>
    <s v="P008"/>
    <s v="Bookshelf"/>
    <x v="2"/>
    <n v="5"/>
    <n v="149.99"/>
    <s v="Cash"/>
    <s v="North"/>
    <s v="Basic"/>
    <d v="2022-11-04T00:00:00"/>
    <n v="749.95"/>
    <d v="2026-03-03T18:05:48"/>
    <d v="2026-03-03T18:05:48"/>
    <x v="146"/>
    <x v="1"/>
    <x v="2"/>
    <x v="146"/>
    <n v="88602.138000000064"/>
    <n v="107553.15084999999"/>
  </r>
  <r>
    <x v="147"/>
    <x v="98"/>
    <s v="CUST025"/>
    <s v="Mark Carter"/>
    <s v="P002"/>
    <s v="Smartphone"/>
    <x v="0"/>
    <n v="2"/>
    <n v="699.99"/>
    <s v="PayPal"/>
    <s v="West"/>
    <s v="Standard"/>
    <d v="2022-07-28T00:00:00"/>
    <n v="1399.98"/>
    <d v="2026-03-03T18:05:48"/>
    <d v="2026-03-03T18:05:48"/>
    <x v="147"/>
    <x v="2"/>
    <x v="10"/>
    <x v="147"/>
    <n v="87927.183000000063"/>
    <n v="106733.830475"/>
  </r>
  <r>
    <x v="148"/>
    <x v="99"/>
    <s v="CUST029"/>
    <s v="Edward Mitchell"/>
    <s v="P006"/>
    <s v="Office Chair"/>
    <x v="2"/>
    <n v="4"/>
    <n v="199.99"/>
    <s v="Debit Card"/>
    <s v="Central"/>
    <s v="Premium"/>
    <d v="2021-08-19T00:00:00"/>
    <n v="799.96"/>
    <d v="2026-03-03T18:05:48"/>
    <d v="2026-03-03T18:05:48"/>
    <x v="148"/>
    <x v="4"/>
    <x v="37"/>
    <x v="148"/>
    <n v="86667.201000000059"/>
    <n v="105204.35232499999"/>
  </r>
  <r>
    <x v="149"/>
    <x v="100"/>
    <s v="CUST033"/>
    <s v="Frank Torres"/>
    <s v="P005"/>
    <s v="Blender"/>
    <x v="1"/>
    <n v="1"/>
    <n v="59.99"/>
    <s v="Debit Card"/>
    <s v="West"/>
    <s v="Standard"/>
    <d v="2021-12-30T00:00:00"/>
    <n v="59.99"/>
    <d v="2026-03-03T18:05:48"/>
    <d v="2026-03-03T18:05:48"/>
    <x v="149"/>
    <x v="3"/>
    <x v="30"/>
    <x v="149"/>
    <n v="85947.237000000066"/>
    <n v="104330.39602499999"/>
  </r>
  <r>
    <x v="150"/>
    <x v="100"/>
    <s v="CUST004"/>
    <s v="Sarah Davis"/>
    <s v="P002"/>
    <s v="Smartphone"/>
    <x v="0"/>
    <n v="3"/>
    <n v="699.99"/>
    <s v="PayPal"/>
    <s v="West"/>
    <s v="Standard"/>
    <d v="2022-01-22T00:00:00"/>
    <n v="2099.9699999999998"/>
    <d v="2026-03-03T18:05:48"/>
    <d v="2026-03-03T18:05:48"/>
    <x v="150"/>
    <x v="0"/>
    <x v="7"/>
    <x v="150"/>
    <n v="85893.246000000072"/>
    <n v="104264.85694999999"/>
  </r>
  <r>
    <x v="151"/>
    <x v="101"/>
    <s v="CUST045"/>
    <s v="Douglas Watson"/>
    <s v="P009"/>
    <s v="Monitor"/>
    <x v="0"/>
    <n v="5"/>
    <n v="249.99"/>
    <s v="Credit Card"/>
    <s v="North"/>
    <s v="Basic"/>
    <d v="2022-11-08T00:00:00"/>
    <n v="1249.95"/>
    <d v="2026-03-03T18:05:48"/>
    <d v="2026-03-03T18:05:48"/>
    <x v="151"/>
    <x v="1"/>
    <x v="16"/>
    <x v="151"/>
    <n v="84003.273000000059"/>
    <n v="101970.63972499999"/>
  </r>
  <r>
    <x v="152"/>
    <x v="102"/>
    <s v="CUST014"/>
    <s v="Linda Martin"/>
    <s v="P008"/>
    <s v="Bookshelf"/>
    <x v="2"/>
    <n v="2"/>
    <n v="149.99"/>
    <s v="Cash"/>
    <s v="South"/>
    <s v="Standard"/>
    <d v="2023-06-24T00:00:00"/>
    <n v="299.98"/>
    <d v="2026-03-03T18:05:48"/>
    <d v="2026-03-03T18:05:48"/>
    <x v="152"/>
    <x v="2"/>
    <x v="22"/>
    <x v="152"/>
    <n v="82878.318000000072"/>
    <n v="100605.06934999999"/>
  </r>
  <r>
    <x v="153"/>
    <x v="103"/>
    <s v="CUST021"/>
    <s v="Kevin Scott"/>
    <s v="P007"/>
    <s v="Desk"/>
    <x v="2"/>
    <n v="3"/>
    <n v="299.99"/>
    <s v="Cash"/>
    <s v="South"/>
    <s v="Premium"/>
    <d v="2022-04-08T00:00:00"/>
    <n v="899.97"/>
    <d v="2026-03-03T18:05:48"/>
    <d v="2026-03-03T18:05:48"/>
    <x v="153"/>
    <x v="0"/>
    <x v="23"/>
    <x v="153"/>
    <n v="82608.336000000068"/>
    <n v="100277.3412"/>
  </r>
  <r>
    <x v="154"/>
    <x v="103"/>
    <s v="CUST017"/>
    <s v="Charles Allen"/>
    <s v="P009"/>
    <s v="Monitor"/>
    <x v="0"/>
    <n v="5"/>
    <n v="249.99"/>
    <s v="Cash"/>
    <s v="Central"/>
    <s v="Premium"/>
    <d v="2021-10-16T00:00:00"/>
    <n v="1249.95"/>
    <d v="2026-03-03T18:05:48"/>
    <d v="2026-03-03T18:05:48"/>
    <x v="154"/>
    <x v="1"/>
    <x v="16"/>
    <x v="154"/>
    <n v="81798.36300000007"/>
    <n v="99294.123974999995"/>
  </r>
  <r>
    <x v="155"/>
    <x v="103"/>
    <s v="CUST013"/>
    <s v="Joseph Jackson"/>
    <s v="P003"/>
    <s v="Headphones"/>
    <x v="0"/>
    <n v="2"/>
    <n v="149.99"/>
    <s v="Cash"/>
    <s v="South"/>
    <s v="Premium"/>
    <d v="2021-10-06T00:00:00"/>
    <n v="299.98"/>
    <d v="2026-03-03T18:05:48"/>
    <d v="2026-03-03T18:05:48"/>
    <x v="155"/>
    <x v="2"/>
    <x v="22"/>
    <x v="155"/>
    <n v="80673.408000000069"/>
    <n v="97928.553599999985"/>
  </r>
  <r>
    <x v="156"/>
    <x v="103"/>
    <s v="CUST025"/>
    <s v="Mark Carter"/>
    <s v="P002"/>
    <s v="Smartphone"/>
    <x v="0"/>
    <n v="5"/>
    <n v="699.99"/>
    <s v="Debit Card"/>
    <s v="West"/>
    <s v="Standard"/>
    <d v="2023-01-18T00:00:00"/>
    <n v="3499.95"/>
    <d v="2026-03-03T18:05:48"/>
    <d v="2026-03-03T18:05:48"/>
    <x v="156"/>
    <x v="1"/>
    <x v="12"/>
    <x v="156"/>
    <n v="80403.42600000008"/>
    <n v="97600.825449999989"/>
  </r>
  <r>
    <x v="157"/>
    <x v="104"/>
    <s v="CUST011"/>
    <s v="William White"/>
    <s v="P009"/>
    <s v="Monitor"/>
    <x v="0"/>
    <n v="4"/>
    <n v="249.99"/>
    <s v="PayPal"/>
    <s v="East"/>
    <s v="Premium"/>
    <d v="2023-06-21T00:00:00"/>
    <n v="999.96"/>
    <d v="2026-03-03T18:05:48"/>
    <d v="2026-03-03T18:05:48"/>
    <x v="157"/>
    <x v="4"/>
    <x v="14"/>
    <x v="157"/>
    <n v="77253.471000000063"/>
    <n v="93777.130075000023"/>
  </r>
  <r>
    <x v="158"/>
    <x v="105"/>
    <s v="CUST024"/>
    <s v="Dorothy Nelson"/>
    <s v="P002"/>
    <s v="Smartphone"/>
    <x v="0"/>
    <n v="4"/>
    <n v="699.99"/>
    <s v="Credit Card"/>
    <s v="North"/>
    <s v="Premium"/>
    <d v="2022-05-22T00:00:00"/>
    <n v="2799.96"/>
    <d v="2026-03-03T18:05:48"/>
    <d v="2026-03-03T18:05:48"/>
    <x v="158"/>
    <x v="4"/>
    <x v="13"/>
    <x v="158"/>
    <n v="76353.507000000071"/>
    <n v="92684.673775000032"/>
  </r>
  <r>
    <x v="159"/>
    <x v="106"/>
    <s v="CUST036"/>
    <s v="Nancy Collins"/>
    <s v="P009"/>
    <s v="Monitor"/>
    <x v="0"/>
    <n v="2"/>
    <n v="249.99"/>
    <s v="Credit Card"/>
    <s v="Central"/>
    <s v="Premium"/>
    <d v="2021-07-19T00:00:00"/>
    <n v="499.98"/>
    <d v="2026-03-03T18:05:48"/>
    <d v="2026-03-03T18:05:48"/>
    <x v="159"/>
    <x v="2"/>
    <x v="36"/>
    <x v="159"/>
    <n v="73833.543000000078"/>
    <n v="89625.717475000027"/>
  </r>
  <r>
    <x v="160"/>
    <x v="106"/>
    <s v="CUST005"/>
    <s v="James Johnson"/>
    <s v="P005"/>
    <s v="Blender"/>
    <x v="1"/>
    <n v="3"/>
    <n v="59.99"/>
    <s v="Cash"/>
    <s v="Central"/>
    <s v="Premium"/>
    <d v="2023-05-06T00:00:00"/>
    <n v="179.97"/>
    <d v="2026-03-03T18:05:48"/>
    <d v="2026-03-03T18:05:48"/>
    <x v="160"/>
    <x v="0"/>
    <x v="1"/>
    <x v="160"/>
    <n v="73383.56100000006"/>
    <n v="89079.489325000017"/>
  </r>
  <r>
    <x v="161"/>
    <x v="106"/>
    <s v="CUST008"/>
    <s v="Jennifer Taylor"/>
    <s v="P004"/>
    <s v="Coffee Maker"/>
    <x v="1"/>
    <n v="4"/>
    <n v="79.989999999999995"/>
    <s v="Debit Card"/>
    <s v="East"/>
    <s v="Standard"/>
    <d v="2022-12-26T00:00:00"/>
    <n v="319.95999999999998"/>
    <d v="2026-03-03T18:05:48"/>
    <d v="2026-03-03T18:05:48"/>
    <x v="161"/>
    <x v="4"/>
    <x v="40"/>
    <x v="161"/>
    <n v="73221.588000000062"/>
    <n v="88882.872100000022"/>
  </r>
  <r>
    <x v="162"/>
    <x v="107"/>
    <s v="CUST030"/>
    <s v="Helen Roberts"/>
    <s v="P004"/>
    <s v="Coffee Maker"/>
    <x v="1"/>
    <n v="3"/>
    <n v="79.989999999999995"/>
    <s v="Debit Card"/>
    <s v="East"/>
    <s v="Standard"/>
    <d v="2022-08-06T00:00:00"/>
    <n v="239.97"/>
    <d v="2026-03-03T18:05:48"/>
    <d v="2026-03-03T18:05:48"/>
    <x v="162"/>
    <x v="0"/>
    <x v="18"/>
    <x v="162"/>
    <n v="72933.624000000054"/>
    <n v="88533.315800000026"/>
  </r>
  <r>
    <x v="163"/>
    <x v="108"/>
    <s v="CUST041"/>
    <s v="Peter Richardson"/>
    <s v="P001"/>
    <s v="Laptop"/>
    <x v="0"/>
    <n v="2"/>
    <n v="899.99"/>
    <s v="Cash"/>
    <s v="North"/>
    <s v="Basic"/>
    <d v="2021-07-29T00:00:00"/>
    <n v="1799.98"/>
    <d v="2026-03-03T18:05:48"/>
    <d v="2026-03-03T18:05:48"/>
    <x v="163"/>
    <x v="2"/>
    <x v="43"/>
    <x v="163"/>
    <n v="72717.651000000042"/>
    <n v="88271.148575000043"/>
  </r>
  <r>
    <x v="164"/>
    <x v="109"/>
    <s v="CUST007"/>
    <s v="David Martinez"/>
    <s v="P008"/>
    <s v="Bookshelf"/>
    <x v="2"/>
    <n v="1"/>
    <n v="149.99"/>
    <s v="Debit Card"/>
    <s v="East"/>
    <s v="Standard"/>
    <d v="2023-10-01T00:00:00"/>
    <n v="149.99"/>
    <d v="2026-03-03T18:05:48"/>
    <d v="2026-03-03T18:05:48"/>
    <x v="164"/>
    <x v="3"/>
    <x v="5"/>
    <x v="164"/>
    <n v="71097.669000000053"/>
    <n v="86304.670425000033"/>
  </r>
  <r>
    <x v="165"/>
    <x v="109"/>
    <s v="CUST031"/>
    <s v="Steven Turner"/>
    <s v="P007"/>
    <s v="Desk"/>
    <x v="2"/>
    <n v="2"/>
    <n v="299.99"/>
    <s v="Cash"/>
    <s v="East"/>
    <s v="Premium"/>
    <d v="2022-06-12T00:00:00"/>
    <n v="599.98"/>
    <d v="2026-03-03T18:05:48"/>
    <d v="2026-03-03T18:05:48"/>
    <x v="165"/>
    <x v="2"/>
    <x v="31"/>
    <x v="165"/>
    <n v="70962.678000000044"/>
    <n v="86140.806350000043"/>
  </r>
  <r>
    <x v="166"/>
    <x v="110"/>
    <s v="CUST002"/>
    <s v="Emma Wilson"/>
    <s v="P005"/>
    <s v="Blender"/>
    <x v="1"/>
    <n v="2"/>
    <n v="59.99"/>
    <s v="Cash"/>
    <s v="West"/>
    <s v="Basic"/>
    <d v="2023-09-22T00:00:00"/>
    <n v="119.98"/>
    <d v="2026-03-03T18:05:48"/>
    <d v="2026-03-03T18:05:48"/>
    <x v="166"/>
    <x v="2"/>
    <x v="3"/>
    <x v="166"/>
    <n v="70422.696000000054"/>
    <n v="85485.328200000033"/>
  </r>
  <r>
    <x v="167"/>
    <x v="111"/>
    <s v="CUST007"/>
    <s v="David Martinez"/>
    <s v="P010"/>
    <s v="Keyboard"/>
    <x v="0"/>
    <n v="1"/>
    <n v="89.99"/>
    <s v="Debit Card"/>
    <s v="Central"/>
    <s v="Standard"/>
    <d v="2022-07-18T00:00:00"/>
    <n v="89.99"/>
    <d v="2026-03-03T18:05:48"/>
    <d v="2026-03-03T18:05:48"/>
    <x v="167"/>
    <x v="3"/>
    <x v="27"/>
    <x v="167"/>
    <n v="70314.714000000051"/>
    <n v="85354.250050000031"/>
  </r>
  <r>
    <x v="168"/>
    <x v="111"/>
    <s v="CUST019"/>
    <s v="Daniel King"/>
    <s v="P001"/>
    <s v="Laptop"/>
    <x v="0"/>
    <n v="5"/>
    <n v="899.99"/>
    <s v="Debit Card"/>
    <s v="East"/>
    <s v="Standard"/>
    <d v="2022-03-05T00:00:00"/>
    <n v="4499.95"/>
    <d v="2026-03-03T18:05:48"/>
    <d v="2026-03-03T18:05:48"/>
    <x v="168"/>
    <x v="1"/>
    <x v="29"/>
    <x v="168"/>
    <n v="70233.723000000042"/>
    <n v="85255.935975000044"/>
  </r>
  <r>
    <x v="169"/>
    <x v="112"/>
    <s v="CUST003"/>
    <s v="Michael Brown"/>
    <s v="P008"/>
    <s v="Bookshelf"/>
    <x v="2"/>
    <n v="2"/>
    <n v="149.99"/>
    <s v="Cash"/>
    <s v="South"/>
    <s v="Basic"/>
    <d v="2023-11-09T00:00:00"/>
    <n v="299.98"/>
    <d v="2026-03-03T18:05:48"/>
    <d v="2026-03-03T18:05:48"/>
    <x v="169"/>
    <x v="2"/>
    <x v="22"/>
    <x v="169"/>
    <n v="66183.768000000055"/>
    <n v="80339.740600000019"/>
  </r>
  <r>
    <x v="170"/>
    <x v="113"/>
    <s v="CUST014"/>
    <s v="Linda Martin"/>
    <s v="P003"/>
    <s v="Headphones"/>
    <x v="0"/>
    <n v="2"/>
    <n v="149.99"/>
    <s v="Debit Card"/>
    <s v="West"/>
    <s v="Premium"/>
    <d v="2023-12-20T00:00:00"/>
    <n v="299.98"/>
    <d v="2026-03-03T18:05:48"/>
    <d v="2026-03-03T18:05:48"/>
    <x v="170"/>
    <x v="2"/>
    <x v="22"/>
    <x v="170"/>
    <n v="65913.786000000036"/>
    <n v="80012.012450000024"/>
  </r>
  <r>
    <x v="171"/>
    <x v="113"/>
    <s v="CUST007"/>
    <s v="David Martinez"/>
    <s v="P008"/>
    <s v="Bookshelf"/>
    <x v="2"/>
    <n v="3"/>
    <n v="149.99"/>
    <s v="Debit Card"/>
    <s v="North"/>
    <s v="Standard"/>
    <d v="2021-11-22T00:00:00"/>
    <n v="449.97"/>
    <d v="2026-03-03T18:05:48"/>
    <d v="2026-03-03T18:05:48"/>
    <x v="171"/>
    <x v="0"/>
    <x v="6"/>
    <x v="171"/>
    <n v="65643.804000000062"/>
    <n v="79684.284300000028"/>
  </r>
  <r>
    <x v="172"/>
    <x v="114"/>
    <s v="CUST021"/>
    <s v="Kevin Scott"/>
    <s v="P007"/>
    <s v="Desk"/>
    <x v="2"/>
    <n v="2"/>
    <n v="299.99"/>
    <s v="PayPal"/>
    <s v="South"/>
    <s v="Basic"/>
    <d v="2022-06-09T00:00:00"/>
    <n v="599.98"/>
    <d v="2026-03-03T18:05:48"/>
    <d v="2026-03-03T18:05:48"/>
    <x v="172"/>
    <x v="2"/>
    <x v="31"/>
    <x v="172"/>
    <n v="65238.831000000042"/>
    <n v="79192.692075000028"/>
  </r>
  <r>
    <x v="173"/>
    <x v="115"/>
    <s v="CUST003"/>
    <s v="Michael Brown"/>
    <s v="P007"/>
    <s v="Desk"/>
    <x v="2"/>
    <n v="2"/>
    <n v="299.99"/>
    <s v="Cash"/>
    <s v="West"/>
    <s v="Basic"/>
    <d v="2022-07-29T00:00:00"/>
    <n v="599.98"/>
    <d v="2026-03-03T18:05:48"/>
    <d v="2026-03-03T18:05:48"/>
    <x v="173"/>
    <x v="2"/>
    <x v="31"/>
    <x v="173"/>
    <n v="64698.849000000053"/>
    <n v="78537.213925000018"/>
  </r>
  <r>
    <x v="174"/>
    <x v="115"/>
    <s v="CUST030"/>
    <s v="Helen Roberts"/>
    <s v="P006"/>
    <s v="Office Chair"/>
    <x v="2"/>
    <n v="4"/>
    <n v="199.99"/>
    <s v="Credit Card"/>
    <s v="Central"/>
    <s v="Basic"/>
    <d v="2021-11-23T00:00:00"/>
    <n v="799.96"/>
    <d v="2026-03-03T18:05:48"/>
    <d v="2026-03-03T18:05:48"/>
    <x v="174"/>
    <x v="4"/>
    <x v="37"/>
    <x v="174"/>
    <n v="64158.867000000049"/>
    <n v="77881.735775000023"/>
  </r>
  <r>
    <x v="175"/>
    <x v="116"/>
    <s v="CUST009"/>
    <s v="Robert Thomas"/>
    <s v="P010"/>
    <s v="Keyboard"/>
    <x v="0"/>
    <n v="1"/>
    <n v="89.99"/>
    <s v="Credit Card"/>
    <s v="South"/>
    <s v="Premium"/>
    <d v="2022-01-30T00:00:00"/>
    <n v="89.99"/>
    <d v="2026-03-03T18:05:48"/>
    <d v="2026-03-03T18:05:48"/>
    <x v="175"/>
    <x v="3"/>
    <x v="27"/>
    <x v="175"/>
    <n v="63438.903000000057"/>
    <n v="77007.779475000032"/>
  </r>
  <r>
    <x v="176"/>
    <x v="116"/>
    <s v="CUST036"/>
    <s v="Nancy Collins"/>
    <s v="P008"/>
    <s v="Bookshelf"/>
    <x v="2"/>
    <n v="5"/>
    <n v="149.99"/>
    <s v="Cash"/>
    <s v="Central"/>
    <s v="Premium"/>
    <d v="2024-02-25T00:00:00"/>
    <n v="749.95"/>
    <d v="2026-03-03T18:05:48"/>
    <d v="2026-03-03T18:05:48"/>
    <x v="176"/>
    <x v="1"/>
    <x v="2"/>
    <x v="176"/>
    <n v="63357.912000000048"/>
    <n v="76909.46540000003"/>
  </r>
  <r>
    <x v="177"/>
    <x v="117"/>
    <s v="CUST025"/>
    <s v="Mark Carter"/>
    <s v="P001"/>
    <s v="Laptop"/>
    <x v="0"/>
    <n v="1"/>
    <n v="899.99"/>
    <s v="PayPal"/>
    <s v="North"/>
    <s v="Premium"/>
    <d v="2023-05-04T00:00:00"/>
    <n v="899.99"/>
    <d v="2026-03-03T18:05:48"/>
    <d v="2026-03-03T18:05:48"/>
    <x v="177"/>
    <x v="3"/>
    <x v="8"/>
    <x v="177"/>
    <n v="62682.957000000046"/>
    <n v="76090.14502500002"/>
  </r>
  <r>
    <x v="178"/>
    <x v="118"/>
    <s v="CUST019"/>
    <s v="Daniel King"/>
    <s v="P010"/>
    <s v="Keyboard"/>
    <x v="0"/>
    <n v="2"/>
    <n v="89.99"/>
    <s v="Credit Card"/>
    <s v="South"/>
    <s v="Premium"/>
    <d v="2022-01-03T00:00:00"/>
    <n v="179.98"/>
    <d v="2026-03-03T18:05:48"/>
    <d v="2026-03-03T18:05:48"/>
    <x v="178"/>
    <x v="2"/>
    <x v="28"/>
    <x v="178"/>
    <n v="61872.966000000051"/>
    <n v="75106.905950000029"/>
  </r>
  <r>
    <x v="179"/>
    <x v="119"/>
    <s v="CUST037"/>
    <s v="Arthur Edwards"/>
    <s v="P001"/>
    <s v="Laptop"/>
    <x v="0"/>
    <n v="1"/>
    <n v="899.99"/>
    <s v="PayPal"/>
    <s v="North"/>
    <s v="Standard"/>
    <d v="2022-07-10T00:00:00"/>
    <n v="899.99"/>
    <d v="2026-03-03T18:05:48"/>
    <d v="2026-03-03T18:05:48"/>
    <x v="179"/>
    <x v="3"/>
    <x v="8"/>
    <x v="179"/>
    <n v="61710.984000000048"/>
    <n v="74910.277800000025"/>
  </r>
  <r>
    <x v="180"/>
    <x v="120"/>
    <s v="CUST006"/>
    <s v="Lisa Anderson"/>
    <s v="P003"/>
    <s v="Headphones"/>
    <x v="0"/>
    <n v="5"/>
    <n v="149.99"/>
    <s v="PayPal"/>
    <s v="East"/>
    <s v="Premium"/>
    <d v="2022-09-20T00:00:00"/>
    <n v="749.95"/>
    <d v="2026-03-03T18:05:48"/>
    <d v="2026-03-03T18:05:48"/>
    <x v="180"/>
    <x v="1"/>
    <x v="2"/>
    <x v="180"/>
    <n v="60900.993000000053"/>
    <n v="73927.038725000035"/>
  </r>
  <r>
    <x v="181"/>
    <x v="120"/>
    <s v="CUST003"/>
    <s v="Michael Brown"/>
    <s v="P007"/>
    <s v="Desk"/>
    <x v="2"/>
    <n v="3"/>
    <n v="299.99"/>
    <s v="Cash"/>
    <s v="South"/>
    <s v="Standard"/>
    <d v="2021-08-14T00:00:00"/>
    <n v="899.97"/>
    <d v="2026-03-03T18:05:48"/>
    <d v="2026-03-03T18:05:48"/>
    <x v="181"/>
    <x v="0"/>
    <x v="23"/>
    <x v="181"/>
    <n v="60226.038000000051"/>
    <n v="73107.718350000025"/>
  </r>
  <r>
    <x v="182"/>
    <x v="121"/>
    <s v="CUST026"/>
    <s v="Karen Hill"/>
    <s v="P002"/>
    <s v="Smartphone"/>
    <x v="0"/>
    <n v="3"/>
    <n v="699.99"/>
    <s v="Credit Card"/>
    <s v="Central"/>
    <s v="Premium"/>
    <d v="2023-06-28T00:00:00"/>
    <n v="2099.9699999999998"/>
    <d v="2026-03-03T18:05:48"/>
    <d v="2026-03-03T18:05:48"/>
    <x v="182"/>
    <x v="0"/>
    <x v="7"/>
    <x v="182"/>
    <n v="59416.065000000053"/>
    <n v="72124.501125000024"/>
  </r>
  <r>
    <x v="183"/>
    <x v="122"/>
    <s v="CUST036"/>
    <s v="Nancy Collins"/>
    <s v="P006"/>
    <s v="Office Chair"/>
    <x v="2"/>
    <n v="5"/>
    <n v="199.99"/>
    <s v="PayPal"/>
    <s v="Central"/>
    <s v="Standard"/>
    <d v="2022-03-13T00:00:00"/>
    <n v="999.95"/>
    <d v="2026-03-03T18:05:48"/>
    <d v="2026-03-03T18:05:48"/>
    <x v="183"/>
    <x v="1"/>
    <x v="21"/>
    <x v="183"/>
    <n v="57526.092000000055"/>
    <n v="69830.283900000024"/>
  </r>
  <r>
    <x v="184"/>
    <x v="122"/>
    <s v="CUST048"/>
    <s v="Virginia Sanders"/>
    <s v="P009"/>
    <s v="Monitor"/>
    <x v="0"/>
    <n v="5"/>
    <n v="249.99"/>
    <s v="Credit Card"/>
    <s v="South"/>
    <s v="Basic"/>
    <d v="2024-02-08T00:00:00"/>
    <n v="1249.95"/>
    <d v="2026-03-03T18:05:48"/>
    <d v="2026-03-03T18:05:48"/>
    <x v="184"/>
    <x v="1"/>
    <x v="16"/>
    <x v="184"/>
    <n v="56626.137000000039"/>
    <n v="68737.838525000014"/>
  </r>
  <r>
    <x v="185"/>
    <x v="123"/>
    <s v="CUST031"/>
    <s v="Steven Turner"/>
    <s v="P003"/>
    <s v="Headphones"/>
    <x v="0"/>
    <n v="4"/>
    <n v="149.99"/>
    <s v="Debit Card"/>
    <s v="East"/>
    <s v="Standard"/>
    <d v="2021-12-06T00:00:00"/>
    <n v="599.96"/>
    <d v="2026-03-03T18:05:48"/>
    <d v="2026-03-03T18:05:48"/>
    <x v="185"/>
    <x v="4"/>
    <x v="9"/>
    <x v="185"/>
    <n v="55501.182000000037"/>
    <n v="67372.268150000018"/>
  </r>
  <r>
    <x v="186"/>
    <x v="123"/>
    <s v="CUST038"/>
    <s v="Michelle Rogers"/>
    <s v="P002"/>
    <s v="Smartphone"/>
    <x v="0"/>
    <n v="3"/>
    <n v="699.99"/>
    <s v="Cash"/>
    <s v="North"/>
    <s v="Premium"/>
    <d v="2022-02-10T00:00:00"/>
    <n v="2099.9699999999998"/>
    <d v="2026-03-03T18:05:48"/>
    <d v="2026-03-03T18:05:48"/>
    <x v="186"/>
    <x v="0"/>
    <x v="7"/>
    <x v="186"/>
    <n v="54961.21800000003"/>
    <n v="66716.811850000027"/>
  </r>
  <r>
    <x v="187"/>
    <x v="124"/>
    <s v="CUST045"/>
    <s v="Douglas Watson"/>
    <s v="P004"/>
    <s v="Coffee Maker"/>
    <x v="1"/>
    <n v="1"/>
    <n v="79.989999999999995"/>
    <s v="Credit Card"/>
    <s v="South"/>
    <s v="Basic"/>
    <d v="2024-01-31T00:00:00"/>
    <n v="79.989999999999995"/>
    <d v="2026-03-03T18:05:48"/>
    <d v="2026-03-03T18:05:48"/>
    <x v="187"/>
    <x v="3"/>
    <x v="26"/>
    <x v="187"/>
    <n v="53071.245000000017"/>
    <n v="64422.59462500002"/>
  </r>
  <r>
    <x v="188"/>
    <x v="124"/>
    <s v="CUST025"/>
    <s v="Mark Carter"/>
    <s v="P007"/>
    <s v="Desk"/>
    <x v="2"/>
    <n v="1"/>
    <n v="299.99"/>
    <s v="Credit Card"/>
    <s v="North"/>
    <s v="Basic"/>
    <d v="2021-08-28T00:00:00"/>
    <n v="299.99"/>
    <d v="2026-03-03T18:05:48"/>
    <d v="2026-03-03T18:05:48"/>
    <x v="188"/>
    <x v="3"/>
    <x v="34"/>
    <x v="188"/>
    <n v="52999.254000000023"/>
    <n v="64335.205550000021"/>
  </r>
  <r>
    <x v="189"/>
    <x v="125"/>
    <s v="CUST028"/>
    <s v="Betty Campbell"/>
    <s v="P009"/>
    <s v="Monitor"/>
    <x v="0"/>
    <n v="4"/>
    <n v="249.99"/>
    <s v="Credit Card"/>
    <s v="North"/>
    <s v="Premium"/>
    <d v="2021-09-21T00:00:00"/>
    <n v="999.96"/>
    <d v="2026-03-03T18:05:48"/>
    <d v="2026-03-03T18:05:48"/>
    <x v="189"/>
    <x v="4"/>
    <x v="14"/>
    <x v="189"/>
    <n v="52729.263000000014"/>
    <n v="64007.466475000016"/>
  </r>
  <r>
    <x v="190"/>
    <x v="125"/>
    <s v="CUST030"/>
    <s v="Helen Roberts"/>
    <s v="P003"/>
    <s v="Headphones"/>
    <x v="0"/>
    <n v="2"/>
    <n v="149.99"/>
    <s v="Cash"/>
    <s v="North"/>
    <s v="Standard"/>
    <d v="2022-12-18T00:00:00"/>
    <n v="299.98"/>
    <d v="2026-03-03T18:05:48"/>
    <d v="2026-03-03T18:05:48"/>
    <x v="190"/>
    <x v="2"/>
    <x v="22"/>
    <x v="190"/>
    <n v="51829.299000000021"/>
    <n v="62915.01017500001"/>
  </r>
  <r>
    <x v="191"/>
    <x v="125"/>
    <s v="CUST032"/>
    <s v="Sandra Phillips"/>
    <s v="P007"/>
    <s v="Desk"/>
    <x v="2"/>
    <n v="3"/>
    <n v="299.99"/>
    <s v="Credit Card"/>
    <s v="South"/>
    <s v="Basic"/>
    <d v="2023-10-05T00:00:00"/>
    <n v="899.97"/>
    <d v="2026-03-03T18:05:48"/>
    <d v="2026-03-03T18:05:48"/>
    <x v="191"/>
    <x v="0"/>
    <x v="23"/>
    <x v="191"/>
    <n v="51559.317000000017"/>
    <n v="62587.282025000008"/>
  </r>
  <r>
    <x v="192"/>
    <x v="126"/>
    <s v="CUST039"/>
    <s v="Lawrence Reed"/>
    <s v="P006"/>
    <s v="Office Chair"/>
    <x v="2"/>
    <n v="4"/>
    <n v="199.99"/>
    <s v="Debit Card"/>
    <s v="South"/>
    <s v="Standard"/>
    <d v="2021-12-14T00:00:00"/>
    <n v="799.96"/>
    <d v="2026-03-03T18:05:48"/>
    <d v="2026-03-03T18:05:48"/>
    <x v="192"/>
    <x v="4"/>
    <x v="37"/>
    <x v="192"/>
    <n v="50749.344000000019"/>
    <n v="61604.0648"/>
  </r>
  <r>
    <x v="193"/>
    <x v="126"/>
    <s v="CUST016"/>
    <s v="Elizabeth Hall"/>
    <s v="P007"/>
    <s v="Desk"/>
    <x v="2"/>
    <n v="5"/>
    <n v="299.99"/>
    <s v="Debit Card"/>
    <s v="Central"/>
    <s v="Basic"/>
    <d v="2021-08-23T00:00:00"/>
    <n v="1499.95"/>
    <d v="2026-03-03T18:05:48"/>
    <d v="2026-03-03T18:05:48"/>
    <x v="193"/>
    <x v="1"/>
    <x v="17"/>
    <x v="193"/>
    <n v="50029.380000000012"/>
    <n v="60730.108500000002"/>
  </r>
  <r>
    <x v="194"/>
    <x v="126"/>
    <s v="CUST009"/>
    <s v="Robert Thomas"/>
    <s v="P008"/>
    <s v="Bookshelf"/>
    <x v="2"/>
    <n v="3"/>
    <n v="149.99"/>
    <s v="Credit Card"/>
    <s v="East"/>
    <s v="Standard"/>
    <d v="2021-07-18T00:00:00"/>
    <n v="449.97"/>
    <d v="2026-03-03T18:05:48"/>
    <d v="2026-03-03T18:05:48"/>
    <x v="194"/>
    <x v="0"/>
    <x v="6"/>
    <x v="194"/>
    <n v="48679.42500000001"/>
    <n v="59091.413125000006"/>
  </r>
  <r>
    <x v="195"/>
    <x v="127"/>
    <s v="CUST006"/>
    <s v="Lisa Anderson"/>
    <s v="P005"/>
    <s v="Blender"/>
    <x v="1"/>
    <n v="5"/>
    <n v="59.99"/>
    <s v="Debit Card"/>
    <s v="East"/>
    <s v="Basic"/>
    <d v="2022-03-22T00:00:00"/>
    <n v="299.95"/>
    <d v="2026-03-03T18:05:48"/>
    <d v="2026-03-03T18:05:48"/>
    <x v="195"/>
    <x v="1"/>
    <x v="42"/>
    <x v="195"/>
    <n v="48274.452000000012"/>
    <n v="58599.820900000006"/>
  </r>
  <r>
    <x v="196"/>
    <x v="128"/>
    <s v="CUST022"/>
    <s v="Susan Green"/>
    <s v="P005"/>
    <s v="Blender"/>
    <x v="1"/>
    <n v="4"/>
    <n v="59.99"/>
    <s v="Debit Card"/>
    <s v="East"/>
    <s v="Standard"/>
    <d v="2022-01-03T00:00:00"/>
    <n v="239.96"/>
    <d v="2026-03-03T18:05:48"/>
    <d v="2026-03-03T18:05:48"/>
    <x v="196"/>
    <x v="4"/>
    <x v="20"/>
    <x v="196"/>
    <n v="48004.49700000001"/>
    <n v="58272.125525000003"/>
  </r>
  <r>
    <x v="197"/>
    <x v="129"/>
    <s v="CUST024"/>
    <s v="Dorothy Nelson"/>
    <s v="P009"/>
    <s v="Monitor"/>
    <x v="0"/>
    <n v="4"/>
    <n v="249.99"/>
    <s v="Debit Card"/>
    <s v="Central"/>
    <s v="Premium"/>
    <d v="2023-10-18T00:00:00"/>
    <n v="999.96"/>
    <d v="2026-03-03T18:05:48"/>
    <d v="2026-03-03T18:05:48"/>
    <x v="197"/>
    <x v="4"/>
    <x v="14"/>
    <x v="197"/>
    <n v="47788.533000000018"/>
    <n v="58009.969225000008"/>
  </r>
  <r>
    <x v="198"/>
    <x v="130"/>
    <s v="CUST011"/>
    <s v="William White"/>
    <s v="P001"/>
    <s v="Laptop"/>
    <x v="0"/>
    <n v="4"/>
    <n v="899.99"/>
    <s v="PayPal"/>
    <s v="Central"/>
    <s v="Basic"/>
    <d v="2022-06-22T00:00:00"/>
    <n v="3599.96"/>
    <d v="2026-03-03T18:05:48"/>
    <d v="2026-03-03T18:05:48"/>
    <x v="198"/>
    <x v="4"/>
    <x v="11"/>
    <x v="198"/>
    <n v="46888.56900000001"/>
    <n v="56917.512925000003"/>
  </r>
  <r>
    <x v="199"/>
    <x v="130"/>
    <s v="CUST025"/>
    <s v="Mark Carter"/>
    <s v="P007"/>
    <s v="Desk"/>
    <x v="2"/>
    <n v="3"/>
    <n v="299.99"/>
    <s v="Debit Card"/>
    <s v="West"/>
    <s v="Standard"/>
    <d v="2023-01-26T00:00:00"/>
    <n v="899.97"/>
    <d v="2026-03-03T18:05:48"/>
    <d v="2026-03-03T18:05:48"/>
    <x v="199"/>
    <x v="0"/>
    <x v="23"/>
    <x v="199"/>
    <n v="43648.605000000003"/>
    <n v="52984.55662499999"/>
  </r>
  <r>
    <x v="200"/>
    <x v="130"/>
    <s v="CUST045"/>
    <s v="Douglas Watson"/>
    <s v="P002"/>
    <s v="Smartphone"/>
    <x v="0"/>
    <n v="2"/>
    <n v="699.99"/>
    <s v="Debit Card"/>
    <s v="Central"/>
    <s v="Premium"/>
    <d v="2022-04-30T00:00:00"/>
    <n v="1399.98"/>
    <d v="2026-03-03T18:05:48"/>
    <d v="2026-03-03T18:05:48"/>
    <x v="200"/>
    <x v="2"/>
    <x v="10"/>
    <x v="200"/>
    <n v="42838.632000000005"/>
    <n v="52001.33939999999"/>
  </r>
  <r>
    <x v="201"/>
    <x v="131"/>
    <s v="CUST026"/>
    <s v="Karen Hill"/>
    <s v="P002"/>
    <s v="Smartphone"/>
    <x v="0"/>
    <n v="4"/>
    <n v="699.99"/>
    <s v="Debit Card"/>
    <s v="West"/>
    <s v="Premium"/>
    <d v="2022-05-11T00:00:00"/>
    <n v="2799.96"/>
    <d v="2026-03-03T18:05:48"/>
    <d v="2026-03-03T18:05:48"/>
    <x v="201"/>
    <x v="4"/>
    <x v="13"/>
    <x v="201"/>
    <n v="41578.65"/>
    <n v="50471.861249999994"/>
  </r>
  <r>
    <x v="202"/>
    <x v="131"/>
    <s v="CUST029"/>
    <s v="Edward Mitchell"/>
    <s v="P010"/>
    <s v="Keyboard"/>
    <x v="0"/>
    <n v="2"/>
    <n v="89.99"/>
    <s v="Debit Card"/>
    <s v="South"/>
    <s v="Basic"/>
    <d v="2022-08-04T00:00:00"/>
    <n v="179.98"/>
    <d v="2026-03-03T18:05:48"/>
    <d v="2026-03-03T18:05:48"/>
    <x v="202"/>
    <x v="2"/>
    <x v="28"/>
    <x v="202"/>
    <n v="39058.686000000009"/>
    <n v="47412.904949999989"/>
  </r>
  <r>
    <x v="203"/>
    <x v="131"/>
    <s v="CUST003"/>
    <s v="Michael Brown"/>
    <s v="P010"/>
    <s v="Keyboard"/>
    <x v="0"/>
    <n v="3"/>
    <n v="89.99"/>
    <s v="Debit Card"/>
    <s v="South"/>
    <s v="Premium"/>
    <d v="2024-01-16T00:00:00"/>
    <n v="269.97000000000003"/>
    <d v="2026-03-03T18:05:48"/>
    <d v="2026-03-03T18:05:48"/>
    <x v="203"/>
    <x v="0"/>
    <x v="25"/>
    <x v="203"/>
    <n v="38896.704000000005"/>
    <n v="47216.276799999985"/>
  </r>
  <r>
    <x v="204"/>
    <x v="132"/>
    <s v="CUST037"/>
    <s v="Arthur Edwards"/>
    <s v="P005"/>
    <s v="Blender"/>
    <x v="1"/>
    <n v="1"/>
    <n v="59.99"/>
    <s v="Debit Card"/>
    <s v="Central"/>
    <s v="Standard"/>
    <d v="2023-04-29T00:00:00"/>
    <n v="59.99"/>
    <d v="2026-03-03T18:05:48"/>
    <d v="2026-03-03T18:05:48"/>
    <x v="204"/>
    <x v="3"/>
    <x v="30"/>
    <x v="204"/>
    <n v="38653.731000000007"/>
    <n v="46921.334574999986"/>
  </r>
  <r>
    <x v="205"/>
    <x v="133"/>
    <s v="CUST042"/>
    <s v="Ruth Brooks"/>
    <s v="P008"/>
    <s v="Bookshelf"/>
    <x v="2"/>
    <n v="3"/>
    <n v="149.99"/>
    <s v="Debit Card"/>
    <s v="North"/>
    <s v="Premium"/>
    <d v="2022-01-03T00:00:00"/>
    <n v="449.97"/>
    <d v="2026-03-03T18:05:48"/>
    <d v="2026-03-03T18:05:48"/>
    <x v="205"/>
    <x v="0"/>
    <x v="6"/>
    <x v="205"/>
    <n v="38599.740000000005"/>
    <n v="46855.795499999986"/>
  </r>
  <r>
    <x v="206"/>
    <x v="133"/>
    <s v="CUST048"/>
    <s v="Virginia Sanders"/>
    <s v="P007"/>
    <s v="Desk"/>
    <x v="2"/>
    <n v="5"/>
    <n v="299.99"/>
    <s v="Credit Card"/>
    <s v="South"/>
    <s v="Basic"/>
    <d v="2023-02-02T00:00:00"/>
    <n v="1499.95"/>
    <d v="2026-03-03T18:05:48"/>
    <d v="2026-03-03T18:05:48"/>
    <x v="206"/>
    <x v="1"/>
    <x v="17"/>
    <x v="206"/>
    <n v="38194.767000000007"/>
    <n v="46364.203274999993"/>
  </r>
  <r>
    <x v="207"/>
    <x v="134"/>
    <s v="CUST040"/>
    <s v="Sharon Butler"/>
    <s v="P005"/>
    <s v="Blender"/>
    <x v="1"/>
    <n v="5"/>
    <n v="59.99"/>
    <s v="Debit Card"/>
    <s v="Central"/>
    <s v="Standard"/>
    <d v="2023-09-08T00:00:00"/>
    <n v="299.95"/>
    <d v="2026-03-03T18:05:48"/>
    <d v="2026-03-03T18:05:48"/>
    <x v="207"/>
    <x v="1"/>
    <x v="42"/>
    <x v="207"/>
    <n v="36844.812000000005"/>
    <n v="44725.507899999997"/>
  </r>
  <r>
    <x v="208"/>
    <x v="135"/>
    <s v="CUST036"/>
    <s v="Nancy Collins"/>
    <s v="P004"/>
    <s v="Coffee Maker"/>
    <x v="1"/>
    <n v="3"/>
    <n v="79.989999999999995"/>
    <s v="Cash"/>
    <s v="East"/>
    <s v="Premium"/>
    <d v="2021-08-28T00:00:00"/>
    <n v="239.97"/>
    <d v="2026-03-03T18:05:48"/>
    <d v="2026-03-03T18:05:48"/>
    <x v="208"/>
    <x v="0"/>
    <x v="18"/>
    <x v="208"/>
    <n v="36574.857000000004"/>
    <n v="44397.812524999994"/>
  </r>
  <r>
    <x v="209"/>
    <x v="136"/>
    <s v="CUST021"/>
    <s v="Kevin Scott"/>
    <s v="P006"/>
    <s v="Office Chair"/>
    <x v="2"/>
    <n v="3"/>
    <n v="199.99"/>
    <s v="Cash"/>
    <s v="Central"/>
    <s v="Basic"/>
    <d v="2022-06-23T00:00:00"/>
    <n v="599.97"/>
    <d v="2026-03-03T18:05:48"/>
    <d v="2026-03-03T18:05:48"/>
    <x v="209"/>
    <x v="0"/>
    <x v="24"/>
    <x v="209"/>
    <n v="36358.883999999998"/>
    <n v="44135.645299999996"/>
  </r>
  <r>
    <x v="210"/>
    <x v="136"/>
    <s v="CUST023"/>
    <s v="Paul Baker"/>
    <s v="P010"/>
    <s v="Keyboard"/>
    <x v="0"/>
    <n v="2"/>
    <n v="89.99"/>
    <s v="PayPal"/>
    <s v="Central"/>
    <s v="Basic"/>
    <d v="2023-11-27T00:00:00"/>
    <n v="179.98"/>
    <d v="2026-03-03T18:05:48"/>
    <d v="2026-03-03T18:05:48"/>
    <x v="210"/>
    <x v="2"/>
    <x v="28"/>
    <x v="210"/>
    <n v="35818.911"/>
    <n v="43480.178074999996"/>
  </r>
  <r>
    <x v="211"/>
    <x v="137"/>
    <s v="CUST015"/>
    <s v="Richard Lee"/>
    <s v="P008"/>
    <s v="Bookshelf"/>
    <x v="2"/>
    <n v="2"/>
    <n v="149.99"/>
    <s v="Cash"/>
    <s v="South"/>
    <s v="Premium"/>
    <d v="2022-06-16T00:00:00"/>
    <n v="299.98"/>
    <d v="2026-03-03T18:05:48"/>
    <d v="2026-03-03T18:05:48"/>
    <x v="211"/>
    <x v="2"/>
    <x v="22"/>
    <x v="211"/>
    <n v="35656.929000000004"/>
    <n v="43283.549924999992"/>
  </r>
  <r>
    <x v="212"/>
    <x v="138"/>
    <s v="CUST029"/>
    <s v="Edward Mitchell"/>
    <s v="P002"/>
    <s v="Smartphone"/>
    <x v="0"/>
    <n v="5"/>
    <n v="699.99"/>
    <s v="PayPal"/>
    <s v="South"/>
    <s v="Premium"/>
    <d v="2024-03-01T00:00:00"/>
    <n v="3499.95"/>
    <d v="2026-03-03T18:05:48"/>
    <d v="2026-03-03T18:05:48"/>
    <x v="212"/>
    <x v="1"/>
    <x v="12"/>
    <x v="212"/>
    <n v="35386.947"/>
    <n v="42955.821774999997"/>
  </r>
  <r>
    <x v="213"/>
    <x v="138"/>
    <s v="CUST003"/>
    <s v="Michael Brown"/>
    <s v="P008"/>
    <s v="Bookshelf"/>
    <x v="2"/>
    <n v="3"/>
    <n v="149.99"/>
    <s v="PayPal"/>
    <s v="Central"/>
    <s v="Standard"/>
    <d v="2022-03-13T00:00:00"/>
    <n v="449.97"/>
    <d v="2026-03-03T18:05:48"/>
    <d v="2026-03-03T18:05:48"/>
    <x v="213"/>
    <x v="0"/>
    <x v="6"/>
    <x v="213"/>
    <n v="32236.992000000006"/>
    <n v="39132.126400000001"/>
  </r>
  <r>
    <x v="214"/>
    <x v="139"/>
    <s v="CUST018"/>
    <s v="Barbara Young"/>
    <s v="P001"/>
    <s v="Laptop"/>
    <x v="0"/>
    <n v="3"/>
    <n v="899.99"/>
    <s v="Cash"/>
    <s v="East"/>
    <s v="Standard"/>
    <d v="2022-02-21T00:00:00"/>
    <n v="2699.97"/>
    <d v="2026-03-03T18:05:48"/>
    <d v="2026-03-03T18:05:48"/>
    <x v="214"/>
    <x v="0"/>
    <x v="4"/>
    <x v="214"/>
    <n v="31832.019000000008"/>
    <n v="38640.534175000001"/>
  </r>
  <r>
    <x v="215"/>
    <x v="139"/>
    <s v="CUST033"/>
    <s v="Frank Torres"/>
    <s v="P006"/>
    <s v="Office Chair"/>
    <x v="2"/>
    <n v="3"/>
    <n v="199.99"/>
    <s v="Cash"/>
    <s v="West"/>
    <s v="Premium"/>
    <d v="2022-09-19T00:00:00"/>
    <n v="599.97"/>
    <d v="2026-03-03T18:05:48"/>
    <d v="2026-03-03T18:05:48"/>
    <x v="215"/>
    <x v="0"/>
    <x v="24"/>
    <x v="215"/>
    <n v="29402.046000000009"/>
    <n v="35690.81695"/>
  </r>
  <r>
    <x v="216"/>
    <x v="140"/>
    <s v="CUST017"/>
    <s v="Charles Allen"/>
    <s v="P007"/>
    <s v="Desk"/>
    <x v="2"/>
    <n v="5"/>
    <n v="299.99"/>
    <s v="Cash"/>
    <s v="West"/>
    <s v="Standard"/>
    <d v="2023-08-04T00:00:00"/>
    <n v="1499.95"/>
    <d v="2026-03-03T18:05:48"/>
    <d v="2026-03-03T18:05:48"/>
    <x v="216"/>
    <x v="1"/>
    <x v="17"/>
    <x v="216"/>
    <n v="28862.073000000011"/>
    <n v="35035.349725"/>
  </r>
  <r>
    <x v="217"/>
    <x v="140"/>
    <s v="CUST040"/>
    <s v="Sharon Butler"/>
    <s v="P002"/>
    <s v="Smartphone"/>
    <x v="0"/>
    <n v="1"/>
    <n v="699.99"/>
    <s v="PayPal"/>
    <s v="West"/>
    <s v="Basic"/>
    <d v="2023-01-08T00:00:00"/>
    <n v="699.99"/>
    <d v="2026-03-03T18:05:48"/>
    <d v="2026-03-03T18:05:48"/>
    <x v="217"/>
    <x v="3"/>
    <x v="38"/>
    <x v="217"/>
    <n v="27512.118000000009"/>
    <n v="33396.654349999997"/>
  </r>
  <r>
    <x v="218"/>
    <x v="141"/>
    <s v="CUST042"/>
    <s v="Ruth Brooks"/>
    <s v="P002"/>
    <s v="Smartphone"/>
    <x v="0"/>
    <n v="1"/>
    <n v="699.99"/>
    <s v="Cash"/>
    <s v="North"/>
    <s v="Premium"/>
    <d v="2022-01-22T00:00:00"/>
    <n v="699.99"/>
    <d v="2026-03-03T18:05:48"/>
    <d v="2026-03-03T18:05:48"/>
    <x v="218"/>
    <x v="3"/>
    <x v="38"/>
    <x v="218"/>
    <n v="26882.127000000008"/>
    <n v="32631.915274999999"/>
  </r>
  <r>
    <x v="219"/>
    <x v="141"/>
    <s v="CUST037"/>
    <s v="Arthur Edwards"/>
    <s v="P008"/>
    <s v="Bookshelf"/>
    <x v="2"/>
    <n v="4"/>
    <n v="149.99"/>
    <s v="PayPal"/>
    <s v="North"/>
    <s v="Premium"/>
    <d v="2021-08-04T00:00:00"/>
    <n v="599.96"/>
    <d v="2026-03-03T18:05:48"/>
    <d v="2026-03-03T18:05:48"/>
    <x v="219"/>
    <x v="4"/>
    <x v="9"/>
    <x v="219"/>
    <n v="26252.136000000013"/>
    <n v="31867.176200000002"/>
  </r>
  <r>
    <x v="220"/>
    <x v="141"/>
    <s v="CUST016"/>
    <s v="Elizabeth Hall"/>
    <s v="P010"/>
    <s v="Keyboard"/>
    <x v="0"/>
    <n v="5"/>
    <n v="89.99"/>
    <s v="PayPal"/>
    <s v="West"/>
    <s v="Premium"/>
    <d v="2023-08-02T00:00:00"/>
    <n v="449.95"/>
    <d v="2026-03-03T18:05:48"/>
    <d v="2026-03-03T18:05:48"/>
    <x v="220"/>
    <x v="1"/>
    <x v="19"/>
    <x v="220"/>
    <n v="25712.172000000013"/>
    <n v="31211.7199"/>
  </r>
  <r>
    <x v="221"/>
    <x v="142"/>
    <s v="CUST031"/>
    <s v="Steven Turner"/>
    <s v="P006"/>
    <s v="Office Chair"/>
    <x v="2"/>
    <n v="2"/>
    <n v="199.99"/>
    <s v="Cash"/>
    <s v="Central"/>
    <s v="Premium"/>
    <d v="2022-01-12T00:00:00"/>
    <n v="399.98"/>
    <d v="2026-03-03T18:05:48"/>
    <d v="2026-03-03T18:05:48"/>
    <x v="221"/>
    <x v="2"/>
    <x v="35"/>
    <x v="221"/>
    <n v="25307.217000000011"/>
    <n v="30720.149525000001"/>
  </r>
  <r>
    <x v="222"/>
    <x v="143"/>
    <s v="CUST015"/>
    <s v="Richard Lee"/>
    <s v="P005"/>
    <s v="Blender"/>
    <x v="1"/>
    <n v="4"/>
    <n v="59.99"/>
    <s v="Cash"/>
    <s v="West"/>
    <s v="Standard"/>
    <d v="2023-05-24T00:00:00"/>
    <n v="239.96"/>
    <d v="2026-03-03T18:05:48"/>
    <d v="2026-03-03T18:05:48"/>
    <x v="222"/>
    <x v="4"/>
    <x v="20"/>
    <x v="222"/>
    <n v="24947.235000000008"/>
    <n v="30283.171375000002"/>
  </r>
  <r>
    <x v="223"/>
    <x v="143"/>
    <s v="CUST048"/>
    <s v="Virginia Sanders"/>
    <s v="P007"/>
    <s v="Desk"/>
    <x v="2"/>
    <n v="2"/>
    <n v="299.99"/>
    <s v="PayPal"/>
    <s v="South"/>
    <s v="Basic"/>
    <d v="2022-01-15T00:00:00"/>
    <n v="599.98"/>
    <d v="2026-03-03T18:05:48"/>
    <d v="2026-03-03T18:05:48"/>
    <x v="223"/>
    <x v="2"/>
    <x v="31"/>
    <x v="223"/>
    <n v="24731.271000000008"/>
    <n v="30021.015074999999"/>
  </r>
  <r>
    <x v="224"/>
    <x v="144"/>
    <s v="CUST017"/>
    <s v="Charles Allen"/>
    <s v="P008"/>
    <s v="Bookshelf"/>
    <x v="2"/>
    <n v="2"/>
    <n v="149.99"/>
    <s v="Cash"/>
    <s v="Central"/>
    <s v="Basic"/>
    <d v="2023-05-22T00:00:00"/>
    <n v="299.98"/>
    <d v="2026-03-03T18:05:48"/>
    <d v="2026-03-03T18:05:48"/>
    <x v="224"/>
    <x v="2"/>
    <x v="22"/>
    <x v="224"/>
    <n v="24191.289000000012"/>
    <n v="29365.536925"/>
  </r>
  <r>
    <x v="225"/>
    <x v="145"/>
    <s v="CUST039"/>
    <s v="Lawrence Reed"/>
    <s v="P002"/>
    <s v="Smartphone"/>
    <x v="0"/>
    <n v="5"/>
    <n v="699.99"/>
    <s v="Debit Card"/>
    <s v="East"/>
    <s v="Premium"/>
    <d v="2023-08-23T00:00:00"/>
    <n v="3499.95"/>
    <d v="2026-03-03T18:05:48"/>
    <d v="2026-03-03T18:05:48"/>
    <x v="225"/>
    <x v="1"/>
    <x v="12"/>
    <x v="225"/>
    <n v="23921.307000000008"/>
    <n v="29037.808775000001"/>
  </r>
  <r>
    <x v="226"/>
    <x v="146"/>
    <s v="CUST043"/>
    <s v="Dennis Gray"/>
    <s v="P005"/>
    <s v="Blender"/>
    <x v="1"/>
    <n v="5"/>
    <n v="59.99"/>
    <s v="Cash"/>
    <s v="West"/>
    <s v="Premium"/>
    <d v="2023-12-31T00:00:00"/>
    <n v="299.95"/>
    <d v="2026-03-03T18:05:48"/>
    <d v="2026-03-03T18:05:48"/>
    <x v="226"/>
    <x v="1"/>
    <x v="42"/>
    <x v="226"/>
    <n v="20771.352000000006"/>
    <n v="25214.113399999998"/>
  </r>
  <r>
    <x v="227"/>
    <x v="147"/>
    <s v="CUST023"/>
    <s v="Paul Baker"/>
    <s v="P010"/>
    <s v="Keyboard"/>
    <x v="0"/>
    <n v="2"/>
    <n v="89.99"/>
    <s v="Credit Card"/>
    <s v="West"/>
    <s v="Premium"/>
    <d v="2024-01-04T00:00:00"/>
    <n v="179.98"/>
    <d v="2026-03-03T18:05:48"/>
    <d v="2026-03-03T18:05:48"/>
    <x v="227"/>
    <x v="2"/>
    <x v="28"/>
    <x v="227"/>
    <n v="20501.397000000004"/>
    <n v="24886.418024999999"/>
  </r>
  <r>
    <x v="228"/>
    <x v="147"/>
    <s v="CUST030"/>
    <s v="Helen Roberts"/>
    <s v="P009"/>
    <s v="Monitor"/>
    <x v="0"/>
    <n v="5"/>
    <n v="249.99"/>
    <s v="Cash"/>
    <s v="East"/>
    <s v="Standard"/>
    <d v="2021-12-10T00:00:00"/>
    <n v="1249.95"/>
    <d v="2026-03-03T18:05:48"/>
    <d v="2026-03-03T18:05:48"/>
    <x v="228"/>
    <x v="1"/>
    <x v="16"/>
    <x v="228"/>
    <n v="20339.415000000008"/>
    <n v="24689.789874999999"/>
  </r>
  <r>
    <x v="229"/>
    <x v="148"/>
    <s v="CUST039"/>
    <s v="Lawrence Reed"/>
    <s v="P008"/>
    <s v="Bookshelf"/>
    <x v="2"/>
    <n v="2"/>
    <n v="149.99"/>
    <s v="PayPal"/>
    <s v="Central"/>
    <s v="Premium"/>
    <d v="2022-03-12T00:00:00"/>
    <n v="299.98"/>
    <d v="2026-03-03T18:05:48"/>
    <d v="2026-03-03T18:05:48"/>
    <x v="229"/>
    <x v="2"/>
    <x v="22"/>
    <x v="229"/>
    <n v="19214.460000000006"/>
    <n v="23324.219499999999"/>
  </r>
  <r>
    <x v="230"/>
    <x v="148"/>
    <s v="CUST035"/>
    <s v="Harry Morgan"/>
    <s v="P001"/>
    <s v="Laptop"/>
    <x v="0"/>
    <n v="5"/>
    <n v="899.99"/>
    <s v="PayPal"/>
    <s v="East"/>
    <s v="Premium"/>
    <d v="2024-04-07T00:00:00"/>
    <n v="4499.95"/>
    <d v="2026-03-03T18:05:48"/>
    <d v="2026-03-03T18:05:48"/>
    <x v="230"/>
    <x v="1"/>
    <x v="29"/>
    <x v="230"/>
    <n v="18944.478000000003"/>
    <n v="22996.49135"/>
  </r>
  <r>
    <x v="231"/>
    <x v="148"/>
    <s v="CUST017"/>
    <s v="Charles Allen"/>
    <s v="P008"/>
    <s v="Bookshelf"/>
    <x v="2"/>
    <n v="4"/>
    <n v="149.99"/>
    <s v="Cash"/>
    <s v="Central"/>
    <s v="Standard"/>
    <d v="2023-12-03T00:00:00"/>
    <n v="599.96"/>
    <d v="2026-03-03T18:05:48"/>
    <d v="2026-03-03T18:05:48"/>
    <x v="231"/>
    <x v="4"/>
    <x v="9"/>
    <x v="231"/>
    <n v="14894.522999999999"/>
    <n v="18080.295975000001"/>
  </r>
  <r>
    <x v="232"/>
    <x v="149"/>
    <s v="CUST035"/>
    <s v="Harry Morgan"/>
    <s v="P009"/>
    <s v="Monitor"/>
    <x v="0"/>
    <n v="1"/>
    <n v="249.99"/>
    <s v="Cash"/>
    <s v="North"/>
    <s v="Standard"/>
    <d v="2023-07-10T00:00:00"/>
    <n v="249.99"/>
    <d v="2026-03-03T18:05:48"/>
    <d v="2026-03-03T18:05:48"/>
    <x v="232"/>
    <x v="3"/>
    <x v="39"/>
    <x v="232"/>
    <n v="14354.558999999999"/>
    <n v="17424.839674999999"/>
  </r>
  <r>
    <x v="233"/>
    <x v="150"/>
    <s v="CUST033"/>
    <s v="Frank Torres"/>
    <s v="P005"/>
    <s v="Blender"/>
    <x v="1"/>
    <n v="2"/>
    <n v="59.99"/>
    <s v="Credit Card"/>
    <s v="West"/>
    <s v="Basic"/>
    <d v="2023-09-24T00:00:00"/>
    <n v="119.98"/>
    <d v="2026-03-03T18:05:48"/>
    <d v="2026-03-03T18:05:48"/>
    <x v="233"/>
    <x v="2"/>
    <x v="3"/>
    <x v="233"/>
    <n v="14129.567999999999"/>
    <n v="17151.725599999998"/>
  </r>
  <r>
    <x v="234"/>
    <x v="151"/>
    <s v="CUST002"/>
    <s v="Emma Wilson"/>
    <s v="P008"/>
    <s v="Bookshelf"/>
    <x v="2"/>
    <n v="2"/>
    <n v="149.99"/>
    <s v="Cash"/>
    <s v="West"/>
    <s v="Premium"/>
    <d v="2023-11-03T00:00:00"/>
    <n v="299.98"/>
    <d v="2026-03-03T18:05:48"/>
    <d v="2026-03-03T18:05:48"/>
    <x v="234"/>
    <x v="2"/>
    <x v="22"/>
    <x v="234"/>
    <n v="14021.585999999999"/>
    <n v="17020.64745"/>
  </r>
  <r>
    <x v="235"/>
    <x v="151"/>
    <s v="CUST040"/>
    <s v="Sharon Butler"/>
    <s v="P001"/>
    <s v="Laptop"/>
    <x v="0"/>
    <n v="3"/>
    <n v="899.99"/>
    <s v="Debit Card"/>
    <s v="North"/>
    <s v="Premium"/>
    <d v="2022-11-11T00:00:00"/>
    <n v="2699.97"/>
    <d v="2026-03-03T18:05:48"/>
    <d v="2026-03-03T18:05:48"/>
    <x v="235"/>
    <x v="0"/>
    <x v="4"/>
    <x v="235"/>
    <n v="13751.603999999999"/>
    <n v="16692.919299999998"/>
  </r>
  <r>
    <x v="236"/>
    <x v="151"/>
    <s v="CUST024"/>
    <s v="Dorothy Nelson"/>
    <s v="P001"/>
    <s v="Laptop"/>
    <x v="0"/>
    <n v="3"/>
    <n v="899.99"/>
    <s v="PayPal"/>
    <s v="North"/>
    <s v="Basic"/>
    <d v="2023-02-18T00:00:00"/>
    <n v="2699.97"/>
    <d v="2026-03-03T18:05:48"/>
    <d v="2026-03-03T18:05:48"/>
    <x v="236"/>
    <x v="0"/>
    <x v="4"/>
    <x v="236"/>
    <n v="11321.630999999999"/>
    <n v="13743.202075000001"/>
  </r>
  <r>
    <x v="237"/>
    <x v="152"/>
    <s v="CUST023"/>
    <s v="Paul Baker"/>
    <s v="P007"/>
    <s v="Desk"/>
    <x v="2"/>
    <n v="3"/>
    <n v="299.99"/>
    <s v="Credit Card"/>
    <s v="West"/>
    <s v="Premium"/>
    <d v="2023-11-04T00:00:00"/>
    <n v="899.97"/>
    <d v="2026-03-03T18:05:48"/>
    <d v="2026-03-03T18:05:48"/>
    <x v="237"/>
    <x v="0"/>
    <x v="23"/>
    <x v="237"/>
    <n v="8891.6579999999994"/>
    <n v="10793.484850000001"/>
  </r>
  <r>
    <x v="238"/>
    <x v="153"/>
    <s v="CUST001"/>
    <s v="John Smith"/>
    <s v="P008"/>
    <s v="Bookshelf"/>
    <x v="2"/>
    <n v="4"/>
    <n v="149.99"/>
    <s v="PayPal"/>
    <s v="West"/>
    <s v="Standard"/>
    <d v="2021-12-30T00:00:00"/>
    <n v="599.96"/>
    <d v="2026-03-03T18:05:48"/>
    <d v="2026-03-03T18:05:48"/>
    <x v="238"/>
    <x v="4"/>
    <x v="9"/>
    <x v="238"/>
    <n v="8081.6849999999995"/>
    <n v="9810.2676250000004"/>
  </r>
  <r>
    <x v="239"/>
    <x v="154"/>
    <s v="CUST044"/>
    <s v="Cynthia Price"/>
    <s v="P004"/>
    <s v="Coffee Maker"/>
    <x v="1"/>
    <n v="4"/>
    <n v="79.989999999999995"/>
    <s v="Credit Card"/>
    <s v="Central"/>
    <s v="Basic"/>
    <d v="2023-12-28T00:00:00"/>
    <n v="319.95999999999998"/>
    <d v="2026-03-03T18:05:48"/>
    <d v="2026-03-03T18:05:48"/>
    <x v="239"/>
    <x v="4"/>
    <x v="40"/>
    <x v="239"/>
    <n v="7541.7209999999995"/>
    <n v="9154.8113250000006"/>
  </r>
  <r>
    <x v="240"/>
    <x v="155"/>
    <s v="CUST020"/>
    <s v="Margaret Wright"/>
    <s v="P010"/>
    <s v="Keyboard"/>
    <x v="0"/>
    <n v="5"/>
    <n v="89.99"/>
    <s v="PayPal"/>
    <s v="South"/>
    <s v="Basic"/>
    <d v="2022-05-23T00:00:00"/>
    <n v="449.95"/>
    <d v="2026-03-03T18:05:48"/>
    <d v="2026-03-03T18:05:48"/>
    <x v="240"/>
    <x v="1"/>
    <x v="19"/>
    <x v="240"/>
    <n v="7253.7569999999996"/>
    <n v="8805.2550250000004"/>
  </r>
  <r>
    <x v="241"/>
    <x v="156"/>
    <s v="CUST048"/>
    <s v="Virginia Sanders"/>
    <s v="P008"/>
    <s v="Bookshelf"/>
    <x v="2"/>
    <n v="3"/>
    <n v="149.99"/>
    <s v="PayPal"/>
    <s v="Central"/>
    <s v="Standard"/>
    <d v="2023-09-02T00:00:00"/>
    <n v="449.97"/>
    <d v="2026-03-03T18:05:48"/>
    <d v="2026-03-03T18:05:48"/>
    <x v="241"/>
    <x v="0"/>
    <x v="6"/>
    <x v="241"/>
    <n v="6848.8019999999997"/>
    <n v="8313.6846499999992"/>
  </r>
  <r>
    <x v="242"/>
    <x v="156"/>
    <s v="CUST026"/>
    <s v="Karen Hill"/>
    <s v="P010"/>
    <s v="Keyboard"/>
    <x v="0"/>
    <n v="2"/>
    <n v="89.99"/>
    <s v="Debit Card"/>
    <s v="West"/>
    <s v="Premium"/>
    <d v="2021-11-22T00:00:00"/>
    <n v="179.98"/>
    <d v="2026-03-03T18:05:48"/>
    <d v="2026-03-03T18:05:48"/>
    <x v="242"/>
    <x v="2"/>
    <x v="28"/>
    <x v="242"/>
    <n v="6443.8289999999997"/>
    <n v="7822.0924249999989"/>
  </r>
  <r>
    <x v="243"/>
    <x v="157"/>
    <s v="CUST044"/>
    <s v="Cynthia Price"/>
    <s v="P002"/>
    <s v="Smartphone"/>
    <x v="0"/>
    <n v="2"/>
    <n v="699.99"/>
    <s v="PayPal"/>
    <s v="North"/>
    <s v="Standard"/>
    <d v="2022-02-26T00:00:00"/>
    <n v="1399.98"/>
    <d v="2026-03-03T18:05:48"/>
    <d v="2026-03-03T18:05:48"/>
    <x v="243"/>
    <x v="2"/>
    <x v="10"/>
    <x v="243"/>
    <n v="6281.8469999999998"/>
    <n v="7625.4642749999985"/>
  </r>
  <r>
    <x v="244"/>
    <x v="158"/>
    <s v="CUST029"/>
    <s v="Edward Mitchell"/>
    <s v="P001"/>
    <s v="Laptop"/>
    <x v="0"/>
    <n v="3"/>
    <n v="899.99"/>
    <s v="Cash"/>
    <s v="Central"/>
    <s v="Standard"/>
    <d v="2023-01-27T00:00:00"/>
    <n v="2699.97"/>
    <d v="2026-03-03T18:05:48"/>
    <d v="2026-03-03T18:05:48"/>
    <x v="244"/>
    <x v="0"/>
    <x v="4"/>
    <x v="244"/>
    <n v="5021.8649999999998"/>
    <n v="6095.9861249999994"/>
  </r>
  <r>
    <x v="245"/>
    <x v="159"/>
    <s v="CUST048"/>
    <s v="Virginia Sanders"/>
    <s v="P004"/>
    <s v="Coffee Maker"/>
    <x v="1"/>
    <n v="3"/>
    <n v="79.989999999999995"/>
    <s v="Credit Card"/>
    <s v="North"/>
    <s v="Basic"/>
    <d v="2021-11-11T00:00:00"/>
    <n v="239.97"/>
    <d v="2026-03-03T18:05:48"/>
    <d v="2026-03-03T18:05:48"/>
    <x v="245"/>
    <x v="0"/>
    <x v="18"/>
    <x v="245"/>
    <n v="2591.8919999999998"/>
    <n v="3146.2688999999996"/>
  </r>
  <r>
    <x v="246"/>
    <x v="160"/>
    <s v="CUST009"/>
    <s v="Robert Thomas"/>
    <s v="P010"/>
    <s v="Keyboard"/>
    <x v="0"/>
    <n v="1"/>
    <n v="89.99"/>
    <s v="Debit Card"/>
    <s v="East"/>
    <s v="Basic"/>
    <d v="2024-02-24T00:00:00"/>
    <n v="89.99"/>
    <d v="2026-03-03T18:05:48"/>
    <d v="2026-03-03T18:05:48"/>
    <x v="246"/>
    <x v="3"/>
    <x v="27"/>
    <x v="246"/>
    <n v="2375.9189999999999"/>
    <n v="2884.1016749999994"/>
  </r>
  <r>
    <x v="247"/>
    <x v="161"/>
    <s v="CUST045"/>
    <s v="Douglas Watson"/>
    <s v="P002"/>
    <s v="Smartphone"/>
    <x v="0"/>
    <n v="3"/>
    <n v="699.99"/>
    <s v="PayPal"/>
    <s v="North"/>
    <s v="Basic"/>
    <d v="2022-12-14T00:00:00"/>
    <n v="2099.9699999999998"/>
    <d v="2026-03-03T18:05:48"/>
    <d v="2026-03-03T18:05:48"/>
    <x v="247"/>
    <x v="0"/>
    <x v="7"/>
    <x v="247"/>
    <n v="2294.9279999999999"/>
    <n v="2785.7875999999997"/>
  </r>
  <r>
    <x v="248"/>
    <x v="161"/>
    <s v="CUST039"/>
    <s v="Lawrence Reed"/>
    <s v="P010"/>
    <s v="Keyboard"/>
    <x v="0"/>
    <n v="2"/>
    <n v="89.99"/>
    <s v="Debit Card"/>
    <s v="East"/>
    <s v="Basic"/>
    <d v="2023-06-11T00:00:00"/>
    <n v="179.98"/>
    <d v="2026-03-03T18:05:48"/>
    <d v="2026-03-03T18:05:48"/>
    <x v="248"/>
    <x v="2"/>
    <x v="28"/>
    <x v="248"/>
    <n v="404.95500000000004"/>
    <n v="491.5703749999999"/>
  </r>
  <r>
    <x v="249"/>
    <x v="161"/>
    <s v="CUST031"/>
    <s v="Steven Turner"/>
    <s v="P010"/>
    <s v="Keyboard"/>
    <x v="0"/>
    <n v="3"/>
    <n v="89.99"/>
    <s v="Debit Card"/>
    <s v="North"/>
    <s v="Premium"/>
    <d v="2022-11-13T00:00:00"/>
    <n v="269.97000000000003"/>
    <d v="2026-03-03T18:05:48"/>
    <d v="2026-03-03T18:05:48"/>
    <x v="249"/>
    <x v="0"/>
    <x v="25"/>
    <x v="249"/>
    <n v="242.97300000000001"/>
    <n v="294.942224999999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40D276-F8EE-4CF5-9DDA-A4990F865B7D}"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P17:S23" firstHeaderRow="0" firstDataRow="1" firstDataCol="1"/>
  <pivotFields count="22">
    <pivotField axis="axisRow" showAll="0">
      <items count="251">
        <item x="96"/>
        <item x="80"/>
        <item x="234"/>
        <item x="27"/>
        <item x="110"/>
        <item x="75"/>
        <item x="55"/>
        <item x="171"/>
        <item x="133"/>
        <item x="201"/>
        <item x="207"/>
        <item x="151"/>
        <item x="236"/>
        <item x="233"/>
        <item x="37"/>
        <item x="230"/>
        <item x="137"/>
        <item x="67"/>
        <item x="237"/>
        <item x="87"/>
        <item x="35"/>
        <item x="188"/>
        <item x="1"/>
        <item x="205"/>
        <item x="53"/>
        <item x="179"/>
        <item x="91"/>
        <item x="166"/>
        <item x="30"/>
        <item x="198"/>
        <item x="94"/>
        <item x="163"/>
        <item x="147"/>
        <item x="128"/>
        <item x="141"/>
        <item x="161"/>
        <item x="97"/>
        <item x="232"/>
        <item x="245"/>
        <item x="25"/>
        <item x="33"/>
        <item x="39"/>
        <item x="3"/>
        <item x="50"/>
        <item x="153"/>
        <item x="169"/>
        <item x="218"/>
        <item x="223"/>
        <item x="16"/>
        <item x="238"/>
        <item x="191"/>
        <item x="61"/>
        <item x="226"/>
        <item x="112"/>
        <item x="123"/>
        <item x="178"/>
        <item x="136"/>
        <item x="98"/>
        <item x="193"/>
        <item x="138"/>
        <item x="51"/>
        <item x="220"/>
        <item x="28"/>
        <item x="249"/>
        <item x="83"/>
        <item x="158"/>
        <item x="13"/>
        <item x="243"/>
        <item x="202"/>
        <item x="62"/>
        <item x="24"/>
        <item x="194"/>
        <item x="146"/>
        <item x="102"/>
        <item x="88"/>
        <item x="143"/>
        <item x="113"/>
        <item x="54"/>
        <item x="131"/>
        <item x="77"/>
        <item x="164"/>
        <item x="160"/>
        <item x="216"/>
        <item x="185"/>
        <item x="125"/>
        <item x="63"/>
        <item x="189"/>
        <item x="47"/>
        <item x="209"/>
        <item x="140"/>
        <item x="181"/>
        <item x="5"/>
        <item x="46"/>
        <item x="154"/>
        <item x="132"/>
        <item x="59"/>
        <item x="69"/>
        <item x="89"/>
        <item x="101"/>
        <item x="104"/>
        <item x="85"/>
        <item x="187"/>
        <item x="248"/>
        <item x="57"/>
        <item x="206"/>
        <item x="192"/>
        <item x="190"/>
        <item x="108"/>
        <item x="139"/>
        <item x="195"/>
        <item x="114"/>
        <item x="106"/>
        <item x="64"/>
        <item x="65"/>
        <item x="48"/>
        <item x="246"/>
        <item x="41"/>
        <item x="211"/>
        <item x="117"/>
        <item x="247"/>
        <item x="44"/>
        <item x="18"/>
        <item x="115"/>
        <item x="235"/>
        <item x="182"/>
        <item x="196"/>
        <item x="58"/>
        <item x="40"/>
        <item x="119"/>
        <item x="32"/>
        <item x="72"/>
        <item x="93"/>
        <item x="155"/>
        <item x="17"/>
        <item x="8"/>
        <item x="66"/>
        <item x="157"/>
        <item x="10"/>
        <item x="2"/>
        <item x="92"/>
        <item x="68"/>
        <item x="105"/>
        <item x="173"/>
        <item x="244"/>
        <item x="149"/>
        <item x="121"/>
        <item x="176"/>
        <item x="150"/>
        <item x="145"/>
        <item x="52"/>
        <item x="217"/>
        <item x="239"/>
        <item x="135"/>
        <item x="49"/>
        <item x="0"/>
        <item x="175"/>
        <item x="79"/>
        <item x="126"/>
        <item x="197"/>
        <item x="148"/>
        <item x="107"/>
        <item x="73"/>
        <item x="168"/>
        <item x="170"/>
        <item x="174"/>
        <item x="203"/>
        <item x="134"/>
        <item x="213"/>
        <item x="70"/>
        <item x="99"/>
        <item x="172"/>
        <item x="142"/>
        <item x="127"/>
        <item x="120"/>
        <item x="228"/>
        <item x="84"/>
        <item x="116"/>
        <item x="199"/>
        <item x="212"/>
        <item x="159"/>
        <item x="118"/>
        <item x="221"/>
        <item x="167"/>
        <item x="56"/>
        <item x="9"/>
        <item x="229"/>
        <item x="208"/>
        <item x="200"/>
        <item x="129"/>
        <item x="130"/>
        <item x="14"/>
        <item x="60"/>
        <item x="6"/>
        <item x="31"/>
        <item x="111"/>
        <item x="210"/>
        <item x="241"/>
        <item x="162"/>
        <item x="231"/>
        <item x="219"/>
        <item x="156"/>
        <item x="38"/>
        <item x="122"/>
        <item x="22"/>
        <item x="86"/>
        <item x="152"/>
        <item x="177"/>
        <item x="42"/>
        <item x="11"/>
        <item x="144"/>
        <item x="109"/>
        <item x="4"/>
        <item x="240"/>
        <item x="214"/>
        <item x="76"/>
        <item x="71"/>
        <item x="81"/>
        <item x="124"/>
        <item x="204"/>
        <item x="45"/>
        <item x="215"/>
        <item x="19"/>
        <item x="183"/>
        <item x="165"/>
        <item x="103"/>
        <item x="225"/>
        <item x="224"/>
        <item x="78"/>
        <item x="222"/>
        <item x="15"/>
        <item x="20"/>
        <item x="34"/>
        <item x="227"/>
        <item x="43"/>
        <item x="26"/>
        <item x="95"/>
        <item x="180"/>
        <item x="186"/>
        <item x="21"/>
        <item x="7"/>
        <item x="29"/>
        <item x="23"/>
        <item x="184"/>
        <item x="74"/>
        <item x="36"/>
        <item x="12"/>
        <item x="90"/>
        <item x="100"/>
        <item x="82"/>
        <item x="242"/>
        <item t="default"/>
      </items>
    </pivotField>
    <pivotField numFmtId="164" showAll="0"/>
    <pivotField showAll="0"/>
    <pivotField showAll="0"/>
    <pivotField showAll="0"/>
    <pivotField showAll="0"/>
    <pivotField showAll="0"/>
    <pivotField showAll="0"/>
    <pivotField showAll="0"/>
    <pivotField showAll="0"/>
    <pivotField axis="axisRow" showAll="0">
      <items count="6">
        <item sd="0" x="0"/>
        <item sd="0" x="4"/>
        <item sd="0" x="2"/>
        <item sd="0" x="1"/>
        <item sd="0" x="3"/>
        <item t="default" sd="0"/>
      </items>
    </pivotField>
    <pivotField showAll="0"/>
    <pivotField numFmtId="164" showAll="0"/>
    <pivotField showAll="0"/>
    <pivotField numFmtId="22" showAll="0"/>
    <pivotField numFmtId="14" showAll="0"/>
    <pivotField showAll="0"/>
    <pivotField showAll="0"/>
    <pivotField showAll="0"/>
    <pivotField dataField="1" showAll="0"/>
    <pivotField dataField="1" showAll="0"/>
    <pivotField dataField="1" showAll="0"/>
  </pivotFields>
  <rowFields count="2">
    <field x="10"/>
    <field x="0"/>
  </rowFields>
  <rowItems count="6">
    <i>
      <x/>
    </i>
    <i>
      <x v="1"/>
    </i>
    <i>
      <x v="2"/>
    </i>
    <i>
      <x v="3"/>
    </i>
    <i>
      <x v="4"/>
    </i>
    <i t="grand">
      <x/>
    </i>
  </rowItems>
  <colFields count="1">
    <field x="-2"/>
  </colFields>
  <colItems count="3">
    <i>
      <x/>
    </i>
    <i i="1">
      <x v="1"/>
    </i>
    <i i="2">
      <x v="2"/>
    </i>
  </colItems>
  <dataFields count="3">
    <dataField name="Sum of Total revenue(High)" fld="19" baseField="0" baseItem="0"/>
    <dataField name="Sum of Discount Sale" fld="20" baseField="0" baseItem="0"/>
    <dataField name="Sum of Festival sale" fld="21" baseField="0" baseItem="0"/>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3"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x14:conditionalFormats count="2">
          <x14:conditionalFormat priority="3" id="{79712F67-9B7B-4894-9349-E9EB3E2DABF4}">
            <x14:pivotAreas count="1">
              <pivotArea outline="0" fieldPosition="0">
                <references count="1">
                  <reference field="4294967294" count="1">
                    <x v="2"/>
                  </reference>
                </references>
              </pivotArea>
            </x14:pivotAreas>
          </x14:conditionalFormat>
          <x14:conditionalFormat priority="4" id="{A9AF9C22-E691-441C-BB00-72B0148ABCF7}">
            <x14:pivotAreas count="1">
              <pivotArea outline="0" fieldPosition="0">
                <references count="1">
                  <reference field="4294967294" count="1">
                    <x v="1"/>
                  </reference>
                </references>
              </pivotArea>
            </x14:pivotAreas>
          </x14:conditionalFormat>
        </x14:conditionalFormats>
      </x14:pivotTableDefinition>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769178E-4BC5-4A0E-8589-0D619C12DB13}"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P10:S15" firstHeaderRow="0" firstDataRow="1" firstDataCol="1"/>
  <pivotFields count="22">
    <pivotField axis="axisRow" showAll="0">
      <items count="251">
        <item x="96"/>
        <item x="80"/>
        <item x="234"/>
        <item x="27"/>
        <item x="110"/>
        <item x="75"/>
        <item x="55"/>
        <item x="171"/>
        <item x="133"/>
        <item x="201"/>
        <item x="207"/>
        <item x="151"/>
        <item x="236"/>
        <item x="233"/>
        <item x="37"/>
        <item x="230"/>
        <item x="137"/>
        <item x="67"/>
        <item x="237"/>
        <item x="87"/>
        <item x="35"/>
        <item x="188"/>
        <item x="1"/>
        <item x="205"/>
        <item x="53"/>
        <item x="179"/>
        <item x="91"/>
        <item x="166"/>
        <item x="30"/>
        <item x="198"/>
        <item x="94"/>
        <item x="163"/>
        <item x="147"/>
        <item x="128"/>
        <item x="141"/>
        <item x="161"/>
        <item x="97"/>
        <item x="232"/>
        <item x="245"/>
        <item x="25"/>
        <item x="33"/>
        <item x="39"/>
        <item x="3"/>
        <item x="50"/>
        <item x="153"/>
        <item x="169"/>
        <item x="218"/>
        <item x="223"/>
        <item x="16"/>
        <item x="238"/>
        <item x="191"/>
        <item x="61"/>
        <item x="226"/>
        <item x="112"/>
        <item x="123"/>
        <item x="178"/>
        <item x="136"/>
        <item x="98"/>
        <item x="193"/>
        <item x="138"/>
        <item x="51"/>
        <item x="220"/>
        <item x="28"/>
        <item x="249"/>
        <item x="83"/>
        <item x="158"/>
        <item x="13"/>
        <item x="243"/>
        <item x="202"/>
        <item x="62"/>
        <item x="24"/>
        <item x="194"/>
        <item x="146"/>
        <item x="102"/>
        <item x="88"/>
        <item x="143"/>
        <item x="113"/>
        <item x="54"/>
        <item x="131"/>
        <item x="77"/>
        <item x="164"/>
        <item x="160"/>
        <item x="216"/>
        <item x="185"/>
        <item x="125"/>
        <item x="63"/>
        <item x="189"/>
        <item x="47"/>
        <item x="209"/>
        <item x="140"/>
        <item x="181"/>
        <item x="5"/>
        <item x="46"/>
        <item x="154"/>
        <item x="132"/>
        <item x="59"/>
        <item x="69"/>
        <item x="89"/>
        <item x="101"/>
        <item x="104"/>
        <item x="85"/>
        <item x="187"/>
        <item x="248"/>
        <item x="57"/>
        <item x="206"/>
        <item x="192"/>
        <item x="190"/>
        <item x="108"/>
        <item x="139"/>
        <item x="195"/>
        <item x="114"/>
        <item x="106"/>
        <item x="64"/>
        <item x="65"/>
        <item x="48"/>
        <item x="246"/>
        <item x="41"/>
        <item x="211"/>
        <item x="117"/>
        <item x="247"/>
        <item x="44"/>
        <item x="18"/>
        <item x="115"/>
        <item x="235"/>
        <item x="182"/>
        <item x="196"/>
        <item x="58"/>
        <item x="40"/>
        <item x="119"/>
        <item x="32"/>
        <item x="72"/>
        <item x="93"/>
        <item x="155"/>
        <item x="17"/>
        <item x="8"/>
        <item x="66"/>
        <item x="157"/>
        <item x="10"/>
        <item x="2"/>
        <item x="92"/>
        <item x="68"/>
        <item x="105"/>
        <item x="173"/>
        <item x="244"/>
        <item x="149"/>
        <item x="121"/>
        <item x="176"/>
        <item x="150"/>
        <item x="145"/>
        <item x="52"/>
        <item x="217"/>
        <item x="239"/>
        <item x="135"/>
        <item x="49"/>
        <item x="0"/>
        <item x="175"/>
        <item x="79"/>
        <item x="126"/>
        <item x="197"/>
        <item x="148"/>
        <item x="107"/>
        <item x="73"/>
        <item x="168"/>
        <item x="170"/>
        <item x="174"/>
        <item x="203"/>
        <item x="134"/>
        <item x="213"/>
        <item x="70"/>
        <item x="99"/>
        <item x="172"/>
        <item x="142"/>
        <item x="127"/>
        <item x="120"/>
        <item x="228"/>
        <item x="84"/>
        <item x="116"/>
        <item x="199"/>
        <item x="212"/>
        <item x="159"/>
        <item x="118"/>
        <item x="221"/>
        <item x="167"/>
        <item x="56"/>
        <item x="9"/>
        <item x="229"/>
        <item x="208"/>
        <item x="200"/>
        <item x="129"/>
        <item x="130"/>
        <item x="14"/>
        <item x="60"/>
        <item x="6"/>
        <item x="31"/>
        <item x="111"/>
        <item x="210"/>
        <item x="241"/>
        <item x="162"/>
        <item x="231"/>
        <item x="219"/>
        <item x="156"/>
        <item x="38"/>
        <item x="122"/>
        <item x="22"/>
        <item x="86"/>
        <item x="152"/>
        <item x="177"/>
        <item x="42"/>
        <item x="11"/>
        <item x="144"/>
        <item x="109"/>
        <item x="4"/>
        <item x="240"/>
        <item x="214"/>
        <item x="76"/>
        <item x="71"/>
        <item x="81"/>
        <item x="124"/>
        <item x="204"/>
        <item x="45"/>
        <item x="215"/>
        <item x="19"/>
        <item x="183"/>
        <item x="165"/>
        <item x="103"/>
        <item x="225"/>
        <item x="224"/>
        <item x="78"/>
        <item x="222"/>
        <item x="15"/>
        <item x="20"/>
        <item x="34"/>
        <item x="227"/>
        <item x="43"/>
        <item x="26"/>
        <item x="95"/>
        <item x="180"/>
        <item x="186"/>
        <item x="21"/>
        <item x="7"/>
        <item x="29"/>
        <item x="23"/>
        <item x="184"/>
        <item x="74"/>
        <item x="36"/>
        <item x="12"/>
        <item x="90"/>
        <item x="100"/>
        <item x="82"/>
        <item x="242"/>
        <item t="default"/>
      </items>
    </pivotField>
    <pivotField numFmtId="164" showAll="0"/>
    <pivotField showAll="0"/>
    <pivotField showAll="0"/>
    <pivotField showAll="0"/>
    <pivotField showAll="0"/>
    <pivotField showAll="0"/>
    <pivotField showAll="0"/>
    <pivotField dataField="1" showAll="0"/>
    <pivotField axis="axisRow" showAll="0">
      <items count="5">
        <item sd="0" x="0"/>
        <item sd="0" x="1"/>
        <item sd="0" x="3"/>
        <item sd="0" x="2"/>
        <item t="default" sd="0"/>
      </items>
    </pivotField>
    <pivotField showAll="0"/>
    <pivotField showAll="0"/>
    <pivotField numFmtId="164" showAll="0"/>
    <pivotField dataField="1" showAll="0"/>
    <pivotField numFmtId="22" showAll="0"/>
    <pivotField numFmtId="14" showAll="0"/>
    <pivotField showAll="0"/>
    <pivotField showAll="0"/>
    <pivotField showAll="0"/>
    <pivotField showAll="0"/>
    <pivotField showAll="0"/>
    <pivotField dataField="1" showAll="0"/>
  </pivotFields>
  <rowFields count="2">
    <field x="9"/>
    <field x="0"/>
  </rowFields>
  <rowItems count="5">
    <i>
      <x/>
    </i>
    <i>
      <x v="1"/>
    </i>
    <i>
      <x v="2"/>
    </i>
    <i>
      <x v="3"/>
    </i>
    <i t="grand">
      <x/>
    </i>
  </rowItems>
  <colFields count="1">
    <field x="-2"/>
  </colFields>
  <colItems count="3">
    <i>
      <x/>
    </i>
    <i i="1">
      <x v="1"/>
    </i>
    <i i="2">
      <x v="2"/>
    </i>
  </colItems>
  <dataFields count="3">
    <dataField name="Sum of Festival sale" fld="21" baseField="0" baseItem="0"/>
    <dataField name="Sum of Total_Amount" fld="13" baseField="0" baseItem="0"/>
    <dataField name="Sum of Unit_Price" fld="8" baseField="0" baseItem="0"/>
  </dataFields>
  <chartFormats count="15">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2" format="3">
      <pivotArea type="data" outline="0" fieldPosition="0">
        <references count="2">
          <reference field="4294967294" count="1" selected="0">
            <x v="0"/>
          </reference>
          <reference field="9" count="1" selected="0">
            <x v="0"/>
          </reference>
        </references>
      </pivotArea>
    </chartFormat>
    <chartFormat chart="2" format="4">
      <pivotArea type="data" outline="0" fieldPosition="0">
        <references count="2">
          <reference field="4294967294" count="1" selected="0">
            <x v="0"/>
          </reference>
          <reference field="9" count="1" selected="0">
            <x v="1"/>
          </reference>
        </references>
      </pivotArea>
    </chartFormat>
    <chartFormat chart="2" format="5">
      <pivotArea type="data" outline="0" fieldPosition="0">
        <references count="2">
          <reference field="4294967294" count="1" selected="0">
            <x v="0"/>
          </reference>
          <reference field="9" count="1" selected="0">
            <x v="2"/>
          </reference>
        </references>
      </pivotArea>
    </chartFormat>
    <chartFormat chart="2" format="6">
      <pivotArea type="data" outline="0" fieldPosition="0">
        <references count="2">
          <reference field="4294967294" count="1" selected="0">
            <x v="0"/>
          </reference>
          <reference field="9" count="1" selected="0">
            <x v="3"/>
          </reference>
        </references>
      </pivotArea>
    </chartFormat>
    <chartFormat chart="2" format="7">
      <pivotArea type="data" outline="0" fieldPosition="0">
        <references count="2">
          <reference field="4294967294" count="1" selected="0">
            <x v="1"/>
          </reference>
          <reference field="9" count="1" selected="0">
            <x v="0"/>
          </reference>
        </references>
      </pivotArea>
    </chartFormat>
    <chartFormat chart="2" format="8">
      <pivotArea type="data" outline="0" fieldPosition="0">
        <references count="2">
          <reference field="4294967294" count="1" selected="0">
            <x v="1"/>
          </reference>
          <reference field="9" count="1" selected="0">
            <x v="1"/>
          </reference>
        </references>
      </pivotArea>
    </chartFormat>
    <chartFormat chart="2" format="9">
      <pivotArea type="data" outline="0" fieldPosition="0">
        <references count="2">
          <reference field="4294967294" count="1" selected="0">
            <x v="1"/>
          </reference>
          <reference field="9" count="1" selected="0">
            <x v="2"/>
          </reference>
        </references>
      </pivotArea>
    </chartFormat>
    <chartFormat chart="2" format="10">
      <pivotArea type="data" outline="0" fieldPosition="0">
        <references count="2">
          <reference field="4294967294" count="1" selected="0">
            <x v="1"/>
          </reference>
          <reference field="9" count="1" selected="0">
            <x v="3"/>
          </reference>
        </references>
      </pivotArea>
    </chartFormat>
    <chartFormat chart="2" format="11">
      <pivotArea type="data" outline="0" fieldPosition="0">
        <references count="2">
          <reference field="4294967294" count="1" selected="0">
            <x v="2"/>
          </reference>
          <reference field="9" count="1" selected="0">
            <x v="0"/>
          </reference>
        </references>
      </pivotArea>
    </chartFormat>
    <chartFormat chart="2" format="12">
      <pivotArea type="data" outline="0" fieldPosition="0">
        <references count="2">
          <reference field="4294967294" count="1" selected="0">
            <x v="2"/>
          </reference>
          <reference field="9" count="1" selected="0">
            <x v="1"/>
          </reference>
        </references>
      </pivotArea>
    </chartFormat>
    <chartFormat chart="2" format="13">
      <pivotArea type="data" outline="0" fieldPosition="0">
        <references count="2">
          <reference field="4294967294" count="1" selected="0">
            <x v="2"/>
          </reference>
          <reference field="9" count="1" selected="0">
            <x v="2"/>
          </reference>
        </references>
      </pivotArea>
    </chartFormat>
    <chartFormat chart="2" format="14">
      <pivotArea type="data" outline="0" fieldPosition="0">
        <references count="2">
          <reference field="4294967294" count="1" selected="0">
            <x v="2"/>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x14:conditionalFormats count="2">
          <x14:conditionalFormat priority="1" id="{990E2322-C7E2-46B5-8C2E-3C031E46ECB8}">
            <x14:pivotAreas count="1">
              <pivotArea outline="0" fieldPosition="0">
                <references count="1">
                  <reference field="4294967294" count="1">
                    <x v="1"/>
                  </reference>
                </references>
              </pivotArea>
            </x14:pivotAreas>
          </x14:conditionalFormat>
          <x14:conditionalFormat priority="2" id="{99950726-7723-4D21-89AD-DDD341EF7A6F}">
            <x14:pivotAreas count="1">
              <pivotArea outline="0" fieldPosition="0">
                <references count="1">
                  <reference field="4294967294" count="1">
                    <x v="0"/>
                  </reference>
                </references>
              </pivotArea>
            </x14:pivotAreas>
          </x14:conditionalFormat>
        </x14:conditionalFormats>
      </x14:pivotTableDefinition>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6B235C-2DFE-4B0B-ABD8-7DDB110D71F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22">
    <pivotField showAll="0"/>
    <pivotField numFmtId="164" showAll="0"/>
    <pivotField showAll="0"/>
    <pivotField showAll="0"/>
    <pivotField showAll="0"/>
    <pivotField showAll="0"/>
    <pivotField showAll="0"/>
    <pivotField showAll="0"/>
    <pivotField dataField="1" showAll="0"/>
    <pivotField showAll="0"/>
    <pivotField axis="axisRow" showAll="0">
      <items count="6">
        <item x="0"/>
        <item x="4"/>
        <item x="2"/>
        <item x="1"/>
        <item x="3"/>
        <item t="default"/>
      </items>
    </pivotField>
    <pivotField showAll="0"/>
    <pivotField numFmtId="164" showAll="0"/>
    <pivotField showAll="0"/>
    <pivotField numFmtId="22" showAll="0"/>
    <pivotField numFmtId="14" showAll="0"/>
    <pivotField showAll="0"/>
    <pivotField showAll="0"/>
    <pivotField showAll="0"/>
    <pivotField showAll="0"/>
    <pivotField showAll="0"/>
    <pivotField showAll="0"/>
  </pivotFields>
  <rowFields count="1">
    <field x="10"/>
  </rowFields>
  <rowItems count="6">
    <i>
      <x/>
    </i>
    <i>
      <x v="1"/>
    </i>
    <i>
      <x v="2"/>
    </i>
    <i>
      <x v="3"/>
    </i>
    <i>
      <x v="4"/>
    </i>
    <i t="grand">
      <x/>
    </i>
  </rowItems>
  <colItems count="1">
    <i/>
  </colItems>
  <dataFields count="1">
    <dataField name="Sum of Unit_Price" fld="8" baseField="0" baseItem="0"/>
  </dataFields>
  <chartFormats count="12">
    <chartFormat chart="0" format="0"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10" count="1" selected="0">
            <x v="0"/>
          </reference>
        </references>
      </pivotArea>
    </chartFormat>
    <chartFormat chart="5" format="9">
      <pivotArea type="data" outline="0" fieldPosition="0">
        <references count="2">
          <reference field="4294967294" count="1" selected="0">
            <x v="0"/>
          </reference>
          <reference field="10" count="1" selected="0">
            <x v="1"/>
          </reference>
        </references>
      </pivotArea>
    </chartFormat>
    <chartFormat chart="5" format="10">
      <pivotArea type="data" outline="0" fieldPosition="0">
        <references count="2">
          <reference field="4294967294" count="1" selected="0">
            <x v="0"/>
          </reference>
          <reference field="10" count="1" selected="0">
            <x v="2"/>
          </reference>
        </references>
      </pivotArea>
    </chartFormat>
    <chartFormat chart="5" format="11">
      <pivotArea type="data" outline="0" fieldPosition="0">
        <references count="2">
          <reference field="4294967294" count="1" selected="0">
            <x v="0"/>
          </reference>
          <reference field="10" count="1" selected="0">
            <x v="3"/>
          </reference>
        </references>
      </pivotArea>
    </chartFormat>
    <chartFormat chart="5" format="12">
      <pivotArea type="data" outline="0" fieldPosition="0">
        <references count="2">
          <reference field="4294967294" count="1" selected="0">
            <x v="0"/>
          </reference>
          <reference field="10" count="1" selected="0">
            <x v="4"/>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 chart="0" format="4">
      <pivotArea type="data" outline="0" fieldPosition="0">
        <references count="2">
          <reference field="4294967294" count="1" selected="0">
            <x v="0"/>
          </reference>
          <reference field="10" count="1" selected="0">
            <x v="3"/>
          </reference>
        </references>
      </pivotArea>
    </chartFormat>
    <chartFormat chart="0" format="5">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A906039-D849-48E2-B940-97D19976F901}"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9" firstHeaderRow="0" firstDataRow="1" firstDataCol="1"/>
  <pivotFields count="22">
    <pivotField axis="axisRow" showAll="0">
      <items count="251">
        <item x="96"/>
        <item x="80"/>
        <item x="234"/>
        <item x="27"/>
        <item x="110"/>
        <item x="75"/>
        <item x="55"/>
        <item x="171"/>
        <item x="133"/>
        <item x="201"/>
        <item x="207"/>
        <item x="151"/>
        <item x="236"/>
        <item x="233"/>
        <item x="37"/>
        <item x="230"/>
        <item x="137"/>
        <item x="67"/>
        <item x="237"/>
        <item x="87"/>
        <item x="35"/>
        <item x="188"/>
        <item x="1"/>
        <item x="205"/>
        <item x="53"/>
        <item x="179"/>
        <item x="91"/>
        <item x="166"/>
        <item x="30"/>
        <item x="198"/>
        <item x="94"/>
        <item x="163"/>
        <item x="147"/>
        <item x="128"/>
        <item x="141"/>
        <item x="161"/>
        <item x="97"/>
        <item x="232"/>
        <item x="245"/>
        <item x="25"/>
        <item x="33"/>
        <item x="39"/>
        <item x="3"/>
        <item x="50"/>
        <item x="153"/>
        <item x="169"/>
        <item x="218"/>
        <item x="223"/>
        <item x="16"/>
        <item x="238"/>
        <item x="191"/>
        <item x="61"/>
        <item x="226"/>
        <item x="112"/>
        <item x="123"/>
        <item x="178"/>
        <item x="136"/>
        <item x="98"/>
        <item x="193"/>
        <item x="138"/>
        <item x="51"/>
        <item x="220"/>
        <item x="28"/>
        <item x="249"/>
        <item x="83"/>
        <item x="158"/>
        <item x="13"/>
        <item x="243"/>
        <item x="202"/>
        <item x="62"/>
        <item x="24"/>
        <item x="194"/>
        <item x="146"/>
        <item x="102"/>
        <item x="88"/>
        <item x="143"/>
        <item x="113"/>
        <item x="54"/>
        <item x="131"/>
        <item x="77"/>
        <item x="164"/>
        <item x="160"/>
        <item x="216"/>
        <item x="185"/>
        <item x="125"/>
        <item x="63"/>
        <item x="189"/>
        <item x="47"/>
        <item x="209"/>
        <item x="140"/>
        <item x="181"/>
        <item x="5"/>
        <item x="46"/>
        <item x="154"/>
        <item x="132"/>
        <item x="59"/>
        <item x="69"/>
        <item x="89"/>
        <item x="101"/>
        <item x="104"/>
        <item x="85"/>
        <item x="187"/>
        <item x="248"/>
        <item x="57"/>
        <item x="206"/>
        <item x="192"/>
        <item x="190"/>
        <item x="108"/>
        <item x="139"/>
        <item x="195"/>
        <item x="114"/>
        <item x="106"/>
        <item x="64"/>
        <item x="65"/>
        <item x="48"/>
        <item x="246"/>
        <item x="41"/>
        <item x="211"/>
        <item x="117"/>
        <item x="247"/>
        <item x="44"/>
        <item x="18"/>
        <item x="115"/>
        <item x="235"/>
        <item x="182"/>
        <item x="196"/>
        <item x="58"/>
        <item x="40"/>
        <item x="119"/>
        <item x="32"/>
        <item x="72"/>
        <item x="93"/>
        <item x="155"/>
        <item x="17"/>
        <item x="8"/>
        <item x="66"/>
        <item x="157"/>
        <item x="10"/>
        <item x="2"/>
        <item x="92"/>
        <item x="68"/>
        <item x="105"/>
        <item x="173"/>
        <item x="244"/>
        <item x="149"/>
        <item x="121"/>
        <item x="176"/>
        <item x="150"/>
        <item x="145"/>
        <item x="52"/>
        <item x="217"/>
        <item x="239"/>
        <item x="135"/>
        <item x="49"/>
        <item x="0"/>
        <item x="175"/>
        <item x="79"/>
        <item x="126"/>
        <item x="197"/>
        <item x="148"/>
        <item x="107"/>
        <item x="73"/>
        <item x="168"/>
        <item x="170"/>
        <item x="174"/>
        <item x="203"/>
        <item x="134"/>
        <item x="213"/>
        <item x="70"/>
        <item x="99"/>
        <item x="172"/>
        <item x="142"/>
        <item x="127"/>
        <item x="120"/>
        <item x="228"/>
        <item x="84"/>
        <item x="116"/>
        <item x="199"/>
        <item x="212"/>
        <item x="159"/>
        <item x="118"/>
        <item x="221"/>
        <item x="167"/>
        <item x="56"/>
        <item x="9"/>
        <item x="229"/>
        <item x="208"/>
        <item x="200"/>
        <item x="129"/>
        <item x="130"/>
        <item x="14"/>
        <item x="60"/>
        <item x="6"/>
        <item x="31"/>
        <item x="111"/>
        <item x="210"/>
        <item x="241"/>
        <item x="162"/>
        <item x="231"/>
        <item x="219"/>
        <item x="156"/>
        <item x="38"/>
        <item x="122"/>
        <item x="22"/>
        <item x="86"/>
        <item x="152"/>
        <item x="177"/>
        <item x="42"/>
        <item x="11"/>
        <item x="144"/>
        <item x="109"/>
        <item x="4"/>
        <item x="240"/>
        <item x="214"/>
        <item x="76"/>
        <item x="71"/>
        <item x="81"/>
        <item x="124"/>
        <item x="204"/>
        <item x="45"/>
        <item x="215"/>
        <item x="19"/>
        <item x="183"/>
        <item x="165"/>
        <item x="103"/>
        <item x="225"/>
        <item x="224"/>
        <item x="78"/>
        <item x="222"/>
        <item x="15"/>
        <item x="20"/>
        <item x="34"/>
        <item x="227"/>
        <item x="43"/>
        <item x="26"/>
        <item x="95"/>
        <item x="180"/>
        <item x="186"/>
        <item x="21"/>
        <item x="7"/>
        <item x="29"/>
        <item x="23"/>
        <item x="184"/>
        <item x="74"/>
        <item x="36"/>
        <item x="12"/>
        <item x="90"/>
        <item x="100"/>
        <item x="82"/>
        <item x="242"/>
        <item t="default"/>
      </items>
    </pivotField>
    <pivotField numFmtId="16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showAll="0"/>
    <pivotField showAll="0"/>
    <pivotField showAll="0"/>
    <pivotField showAll="0"/>
    <pivotField axis="axisRow" showAll="0">
      <items count="6">
        <item sd="0" x="0"/>
        <item sd="0" x="4"/>
        <item sd="0" x="2"/>
        <item sd="0" x="1"/>
        <item sd="0" x="3"/>
        <item t="default" sd="0"/>
      </items>
    </pivotField>
    <pivotField showAll="0"/>
    <pivotField numFmtId="164" showAll="0"/>
    <pivotField showAll="0"/>
    <pivotField numFmtId="22" showAll="0"/>
    <pivotField numFmtId="14" showAll="0"/>
    <pivotField showAll="0"/>
    <pivotField showAll="0"/>
    <pivotField showAll="0"/>
    <pivotField dataField="1" showAll="0"/>
    <pivotField dataField="1" showAll="0"/>
    <pivotField dataField="1" showAll="0"/>
  </pivotFields>
  <rowFields count="2">
    <field x="10"/>
    <field x="0"/>
  </rowFields>
  <rowItems count="6">
    <i>
      <x/>
    </i>
    <i>
      <x v="1"/>
    </i>
    <i>
      <x v="2"/>
    </i>
    <i>
      <x v="3"/>
    </i>
    <i>
      <x v="4"/>
    </i>
    <i t="grand">
      <x/>
    </i>
  </rowItems>
  <colFields count="1">
    <field x="-2"/>
  </colFields>
  <colItems count="3">
    <i>
      <x/>
    </i>
    <i i="1">
      <x v="1"/>
    </i>
    <i i="2">
      <x v="2"/>
    </i>
  </colItems>
  <dataFields count="3">
    <dataField name="Sum of Total revenue(High)" fld="19" baseField="0" baseItem="0"/>
    <dataField name="Sum of Discount Sale" fld="20" baseField="0" baseItem="0"/>
    <dataField name="Sum of Festival sale" fld="21" baseField="0" baseItem="0"/>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3"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7EC3468-14C4-447C-938D-02A6AF0F12DE}"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D8" firstHeaderRow="0" firstDataRow="1" firstDataCol="1"/>
  <pivotFields count="22">
    <pivotField axis="axisRow" showAll="0">
      <items count="251">
        <item x="96"/>
        <item x="80"/>
        <item x="234"/>
        <item x="27"/>
        <item x="110"/>
        <item x="75"/>
        <item x="55"/>
        <item x="171"/>
        <item x="133"/>
        <item x="201"/>
        <item x="207"/>
        <item x="151"/>
        <item x="236"/>
        <item x="233"/>
        <item x="37"/>
        <item x="230"/>
        <item x="137"/>
        <item x="67"/>
        <item x="237"/>
        <item x="87"/>
        <item x="35"/>
        <item x="188"/>
        <item x="1"/>
        <item x="205"/>
        <item x="53"/>
        <item x="179"/>
        <item x="91"/>
        <item x="166"/>
        <item x="30"/>
        <item x="198"/>
        <item x="94"/>
        <item x="163"/>
        <item x="147"/>
        <item x="128"/>
        <item x="141"/>
        <item x="161"/>
        <item x="97"/>
        <item x="232"/>
        <item x="245"/>
        <item x="25"/>
        <item x="33"/>
        <item x="39"/>
        <item x="3"/>
        <item x="50"/>
        <item x="153"/>
        <item x="169"/>
        <item x="218"/>
        <item x="223"/>
        <item x="16"/>
        <item x="238"/>
        <item x="191"/>
        <item x="61"/>
        <item x="226"/>
        <item x="112"/>
        <item x="123"/>
        <item x="178"/>
        <item x="136"/>
        <item x="98"/>
        <item x="193"/>
        <item x="138"/>
        <item x="51"/>
        <item x="220"/>
        <item x="28"/>
        <item x="249"/>
        <item x="83"/>
        <item x="158"/>
        <item x="13"/>
        <item x="243"/>
        <item x="202"/>
        <item x="62"/>
        <item x="24"/>
        <item x="194"/>
        <item x="146"/>
        <item x="102"/>
        <item x="88"/>
        <item x="143"/>
        <item x="113"/>
        <item x="54"/>
        <item x="131"/>
        <item x="77"/>
        <item x="164"/>
        <item x="160"/>
        <item x="216"/>
        <item x="185"/>
        <item x="125"/>
        <item x="63"/>
        <item x="189"/>
        <item x="47"/>
        <item x="209"/>
        <item x="140"/>
        <item x="181"/>
        <item x="5"/>
        <item x="46"/>
        <item x="154"/>
        <item x="132"/>
        <item x="59"/>
        <item x="69"/>
        <item x="89"/>
        <item x="101"/>
        <item x="104"/>
        <item x="85"/>
        <item x="187"/>
        <item x="248"/>
        <item x="57"/>
        <item x="206"/>
        <item x="192"/>
        <item x="190"/>
        <item x="108"/>
        <item x="139"/>
        <item x="195"/>
        <item x="114"/>
        <item x="106"/>
        <item x="64"/>
        <item x="65"/>
        <item x="48"/>
        <item x="246"/>
        <item x="41"/>
        <item x="211"/>
        <item x="117"/>
        <item x="247"/>
        <item x="44"/>
        <item x="18"/>
        <item x="115"/>
        <item x="235"/>
        <item x="182"/>
        <item x="196"/>
        <item x="58"/>
        <item x="40"/>
        <item x="119"/>
        <item x="32"/>
        <item x="72"/>
        <item x="93"/>
        <item x="155"/>
        <item x="17"/>
        <item x="8"/>
        <item x="66"/>
        <item x="157"/>
        <item x="10"/>
        <item x="2"/>
        <item x="92"/>
        <item x="68"/>
        <item x="105"/>
        <item x="173"/>
        <item x="244"/>
        <item x="149"/>
        <item x="121"/>
        <item x="176"/>
        <item x="150"/>
        <item x="145"/>
        <item x="52"/>
        <item x="217"/>
        <item x="239"/>
        <item x="135"/>
        <item x="49"/>
        <item x="0"/>
        <item x="175"/>
        <item x="79"/>
        <item x="126"/>
        <item x="197"/>
        <item x="148"/>
        <item x="107"/>
        <item x="73"/>
        <item x="168"/>
        <item x="170"/>
        <item x="174"/>
        <item x="203"/>
        <item x="134"/>
        <item x="213"/>
        <item x="70"/>
        <item x="99"/>
        <item x="172"/>
        <item x="142"/>
        <item x="127"/>
        <item x="120"/>
        <item x="228"/>
        <item x="84"/>
        <item x="116"/>
        <item x="199"/>
        <item x="212"/>
        <item x="159"/>
        <item x="118"/>
        <item x="221"/>
        <item x="167"/>
        <item x="56"/>
        <item x="9"/>
        <item x="229"/>
        <item x="208"/>
        <item x="200"/>
        <item x="129"/>
        <item x="130"/>
        <item x="14"/>
        <item x="60"/>
        <item x="6"/>
        <item x="31"/>
        <item x="111"/>
        <item x="210"/>
        <item x="241"/>
        <item x="162"/>
        <item x="231"/>
        <item x="219"/>
        <item x="156"/>
        <item x="38"/>
        <item x="122"/>
        <item x="22"/>
        <item x="86"/>
        <item x="152"/>
        <item x="177"/>
        <item x="42"/>
        <item x="11"/>
        <item x="144"/>
        <item x="109"/>
        <item x="4"/>
        <item x="240"/>
        <item x="214"/>
        <item x="76"/>
        <item x="71"/>
        <item x="81"/>
        <item x="124"/>
        <item x="204"/>
        <item x="45"/>
        <item x="215"/>
        <item x="19"/>
        <item x="183"/>
        <item x="165"/>
        <item x="103"/>
        <item x="225"/>
        <item x="224"/>
        <item x="78"/>
        <item x="222"/>
        <item x="15"/>
        <item x="20"/>
        <item x="34"/>
        <item x="227"/>
        <item x="43"/>
        <item x="26"/>
        <item x="95"/>
        <item x="180"/>
        <item x="186"/>
        <item x="21"/>
        <item x="7"/>
        <item x="29"/>
        <item x="23"/>
        <item x="184"/>
        <item x="74"/>
        <item x="36"/>
        <item x="12"/>
        <item x="90"/>
        <item x="100"/>
        <item x="82"/>
        <item x="242"/>
        <item t="default"/>
      </items>
    </pivotField>
    <pivotField numFmtId="164" showAll="0"/>
    <pivotField showAll="0"/>
    <pivotField showAll="0"/>
    <pivotField showAll="0"/>
    <pivotField showAll="0"/>
    <pivotField showAll="0"/>
    <pivotField showAll="0"/>
    <pivotField dataField="1" showAll="0"/>
    <pivotField axis="axisRow" showAll="0">
      <items count="5">
        <item sd="0" x="0"/>
        <item sd="0" x="1"/>
        <item sd="0" x="3"/>
        <item sd="0" x="2"/>
        <item t="default" sd="0"/>
      </items>
    </pivotField>
    <pivotField showAll="0"/>
    <pivotField showAll="0"/>
    <pivotField numFmtId="164" showAll="0"/>
    <pivotField dataField="1" showAll="0"/>
    <pivotField numFmtId="22" showAll="0"/>
    <pivotField numFmtId="14" showAll="0"/>
    <pivotField showAll="0"/>
    <pivotField showAll="0"/>
    <pivotField showAll="0"/>
    <pivotField showAll="0"/>
    <pivotField showAll="0"/>
    <pivotField dataField="1" showAll="0"/>
  </pivotFields>
  <rowFields count="2">
    <field x="9"/>
    <field x="0"/>
  </rowFields>
  <rowItems count="5">
    <i>
      <x/>
    </i>
    <i>
      <x v="1"/>
    </i>
    <i>
      <x v="2"/>
    </i>
    <i>
      <x v="3"/>
    </i>
    <i t="grand">
      <x/>
    </i>
  </rowItems>
  <colFields count="1">
    <field x="-2"/>
  </colFields>
  <colItems count="3">
    <i>
      <x/>
    </i>
    <i i="1">
      <x v="1"/>
    </i>
    <i i="2">
      <x v="2"/>
    </i>
  </colItems>
  <dataFields count="3">
    <dataField name="Sum of Festival sale" fld="21" baseField="0" baseItem="0"/>
    <dataField name="Sum of Total_Amount" fld="13" baseField="0" baseItem="0"/>
    <dataField name="Sum of Unit_Price" fld="8" baseField="0" baseItem="0"/>
  </dataFields>
  <chartFormats count="30">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2" format="3">
      <pivotArea type="data" outline="0" fieldPosition="0">
        <references count="2">
          <reference field="4294967294" count="1" selected="0">
            <x v="0"/>
          </reference>
          <reference field="9" count="1" selected="0">
            <x v="0"/>
          </reference>
        </references>
      </pivotArea>
    </chartFormat>
    <chartFormat chart="2" format="4">
      <pivotArea type="data" outline="0" fieldPosition="0">
        <references count="2">
          <reference field="4294967294" count="1" selected="0">
            <x v="0"/>
          </reference>
          <reference field="9" count="1" selected="0">
            <x v="1"/>
          </reference>
        </references>
      </pivotArea>
    </chartFormat>
    <chartFormat chart="2" format="5">
      <pivotArea type="data" outline="0" fieldPosition="0">
        <references count="2">
          <reference field="4294967294" count="1" selected="0">
            <x v="0"/>
          </reference>
          <reference field="9" count="1" selected="0">
            <x v="2"/>
          </reference>
        </references>
      </pivotArea>
    </chartFormat>
    <chartFormat chart="2" format="6">
      <pivotArea type="data" outline="0" fieldPosition="0">
        <references count="2">
          <reference field="4294967294" count="1" selected="0">
            <x v="0"/>
          </reference>
          <reference field="9" count="1" selected="0">
            <x v="3"/>
          </reference>
        </references>
      </pivotArea>
    </chartFormat>
    <chartFormat chart="2" format="7">
      <pivotArea type="data" outline="0" fieldPosition="0">
        <references count="2">
          <reference field="4294967294" count="1" selected="0">
            <x v="1"/>
          </reference>
          <reference field="9" count="1" selected="0">
            <x v="0"/>
          </reference>
        </references>
      </pivotArea>
    </chartFormat>
    <chartFormat chart="2" format="8">
      <pivotArea type="data" outline="0" fieldPosition="0">
        <references count="2">
          <reference field="4294967294" count="1" selected="0">
            <x v="1"/>
          </reference>
          <reference field="9" count="1" selected="0">
            <x v="1"/>
          </reference>
        </references>
      </pivotArea>
    </chartFormat>
    <chartFormat chart="2" format="9">
      <pivotArea type="data" outline="0" fieldPosition="0">
        <references count="2">
          <reference field="4294967294" count="1" selected="0">
            <x v="1"/>
          </reference>
          <reference field="9" count="1" selected="0">
            <x v="2"/>
          </reference>
        </references>
      </pivotArea>
    </chartFormat>
    <chartFormat chart="2" format="10">
      <pivotArea type="data" outline="0" fieldPosition="0">
        <references count="2">
          <reference field="4294967294" count="1" selected="0">
            <x v="1"/>
          </reference>
          <reference field="9" count="1" selected="0">
            <x v="3"/>
          </reference>
        </references>
      </pivotArea>
    </chartFormat>
    <chartFormat chart="2" format="11">
      <pivotArea type="data" outline="0" fieldPosition="0">
        <references count="2">
          <reference field="4294967294" count="1" selected="0">
            <x v="2"/>
          </reference>
          <reference field="9" count="1" selected="0">
            <x v="0"/>
          </reference>
        </references>
      </pivotArea>
    </chartFormat>
    <chartFormat chart="2" format="12">
      <pivotArea type="data" outline="0" fieldPosition="0">
        <references count="2">
          <reference field="4294967294" count="1" selected="0">
            <x v="2"/>
          </reference>
          <reference field="9" count="1" selected="0">
            <x v="1"/>
          </reference>
        </references>
      </pivotArea>
    </chartFormat>
    <chartFormat chart="2" format="13">
      <pivotArea type="data" outline="0" fieldPosition="0">
        <references count="2">
          <reference field="4294967294" count="1" selected="0">
            <x v="2"/>
          </reference>
          <reference field="9" count="1" selected="0">
            <x v="2"/>
          </reference>
        </references>
      </pivotArea>
    </chartFormat>
    <chartFormat chart="2" format="14">
      <pivotArea type="data" outline="0" fieldPosition="0">
        <references count="2">
          <reference field="4294967294" count="1" selected="0">
            <x v="2"/>
          </reference>
          <reference field="9" count="1" selected="0">
            <x v="3"/>
          </reference>
        </references>
      </pivotArea>
    </chartFormat>
    <chartFormat chart="6" format="30" series="1">
      <pivotArea type="data" outline="0" fieldPosition="0">
        <references count="1">
          <reference field="4294967294" count="1" selected="0">
            <x v="0"/>
          </reference>
        </references>
      </pivotArea>
    </chartFormat>
    <chartFormat chart="6" format="31">
      <pivotArea type="data" outline="0" fieldPosition="0">
        <references count="2">
          <reference field="4294967294" count="1" selected="0">
            <x v="0"/>
          </reference>
          <reference field="9" count="1" selected="0">
            <x v="0"/>
          </reference>
        </references>
      </pivotArea>
    </chartFormat>
    <chartFormat chart="6" format="32">
      <pivotArea type="data" outline="0" fieldPosition="0">
        <references count="2">
          <reference field="4294967294" count="1" selected="0">
            <x v="0"/>
          </reference>
          <reference field="9" count="1" selected="0">
            <x v="1"/>
          </reference>
        </references>
      </pivotArea>
    </chartFormat>
    <chartFormat chart="6" format="33">
      <pivotArea type="data" outline="0" fieldPosition="0">
        <references count="2">
          <reference field="4294967294" count="1" selected="0">
            <x v="0"/>
          </reference>
          <reference field="9" count="1" selected="0">
            <x v="2"/>
          </reference>
        </references>
      </pivotArea>
    </chartFormat>
    <chartFormat chart="6" format="34">
      <pivotArea type="data" outline="0" fieldPosition="0">
        <references count="2">
          <reference field="4294967294" count="1" selected="0">
            <x v="0"/>
          </reference>
          <reference field="9" count="1" selected="0">
            <x v="3"/>
          </reference>
        </references>
      </pivotArea>
    </chartFormat>
    <chartFormat chart="6" format="35" series="1">
      <pivotArea type="data" outline="0" fieldPosition="0">
        <references count="1">
          <reference field="4294967294" count="1" selected="0">
            <x v="1"/>
          </reference>
        </references>
      </pivotArea>
    </chartFormat>
    <chartFormat chart="6" format="36">
      <pivotArea type="data" outline="0" fieldPosition="0">
        <references count="2">
          <reference field="4294967294" count="1" selected="0">
            <x v="1"/>
          </reference>
          <reference field="9" count="1" selected="0">
            <x v="0"/>
          </reference>
        </references>
      </pivotArea>
    </chartFormat>
    <chartFormat chart="6" format="37">
      <pivotArea type="data" outline="0" fieldPosition="0">
        <references count="2">
          <reference field="4294967294" count="1" selected="0">
            <x v="1"/>
          </reference>
          <reference field="9" count="1" selected="0">
            <x v="1"/>
          </reference>
        </references>
      </pivotArea>
    </chartFormat>
    <chartFormat chart="6" format="38">
      <pivotArea type="data" outline="0" fieldPosition="0">
        <references count="2">
          <reference field="4294967294" count="1" selected="0">
            <x v="1"/>
          </reference>
          <reference field="9" count="1" selected="0">
            <x v="2"/>
          </reference>
        </references>
      </pivotArea>
    </chartFormat>
    <chartFormat chart="6" format="39">
      <pivotArea type="data" outline="0" fieldPosition="0">
        <references count="2">
          <reference field="4294967294" count="1" selected="0">
            <x v="1"/>
          </reference>
          <reference field="9" count="1" selected="0">
            <x v="3"/>
          </reference>
        </references>
      </pivotArea>
    </chartFormat>
    <chartFormat chart="6" format="40" series="1">
      <pivotArea type="data" outline="0" fieldPosition="0">
        <references count="1">
          <reference field="4294967294" count="1" selected="0">
            <x v="2"/>
          </reference>
        </references>
      </pivotArea>
    </chartFormat>
    <chartFormat chart="6" format="41">
      <pivotArea type="data" outline="0" fieldPosition="0">
        <references count="2">
          <reference field="4294967294" count="1" selected="0">
            <x v="2"/>
          </reference>
          <reference field="9" count="1" selected="0">
            <x v="0"/>
          </reference>
        </references>
      </pivotArea>
    </chartFormat>
    <chartFormat chart="6" format="42">
      <pivotArea type="data" outline="0" fieldPosition="0">
        <references count="2">
          <reference field="4294967294" count="1" selected="0">
            <x v="2"/>
          </reference>
          <reference field="9" count="1" selected="0">
            <x v="1"/>
          </reference>
        </references>
      </pivotArea>
    </chartFormat>
    <chartFormat chart="6" format="43">
      <pivotArea type="data" outline="0" fieldPosition="0">
        <references count="2">
          <reference field="4294967294" count="1" selected="0">
            <x v="2"/>
          </reference>
          <reference field="9" count="1" selected="0">
            <x v="2"/>
          </reference>
        </references>
      </pivotArea>
    </chartFormat>
    <chartFormat chart="6" format="44">
      <pivotArea type="data" outline="0" fieldPosition="0">
        <references count="2">
          <reference field="4294967294" count="1" selected="0">
            <x v="2"/>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58083B6-E094-44C5-9E5E-5FEA9D830D72}" name="PivotTable10"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7" firstHeaderRow="0" firstDataRow="1" firstDataCol="1"/>
  <pivotFields count="25">
    <pivotField axis="axisRow" showAll="0">
      <items count="251">
        <item x="96"/>
        <item x="80"/>
        <item x="234"/>
        <item x="27"/>
        <item x="110"/>
        <item x="75"/>
        <item x="55"/>
        <item x="171"/>
        <item x="133"/>
        <item x="201"/>
        <item x="207"/>
        <item x="151"/>
        <item x="236"/>
        <item x="233"/>
        <item x="37"/>
        <item x="230"/>
        <item x="137"/>
        <item x="67"/>
        <item x="237"/>
        <item x="87"/>
        <item x="35"/>
        <item x="188"/>
        <item x="1"/>
        <item x="205"/>
        <item x="53"/>
        <item x="179"/>
        <item x="91"/>
        <item x="166"/>
        <item x="30"/>
        <item x="198"/>
        <item x="94"/>
        <item x="163"/>
        <item x="147"/>
        <item x="128"/>
        <item x="141"/>
        <item x="161"/>
        <item x="97"/>
        <item x="232"/>
        <item x="245"/>
        <item x="25"/>
        <item x="33"/>
        <item x="39"/>
        <item x="3"/>
        <item x="50"/>
        <item x="153"/>
        <item x="169"/>
        <item x="218"/>
        <item x="223"/>
        <item x="16"/>
        <item x="238"/>
        <item x="191"/>
        <item x="61"/>
        <item x="226"/>
        <item x="112"/>
        <item x="123"/>
        <item x="178"/>
        <item x="136"/>
        <item x="98"/>
        <item x="193"/>
        <item x="138"/>
        <item x="51"/>
        <item x="220"/>
        <item x="28"/>
        <item x="249"/>
        <item x="83"/>
        <item x="158"/>
        <item x="13"/>
        <item x="243"/>
        <item x="202"/>
        <item x="62"/>
        <item x="24"/>
        <item x="194"/>
        <item x="146"/>
        <item x="102"/>
        <item x="88"/>
        <item x="143"/>
        <item x="113"/>
        <item x="54"/>
        <item x="131"/>
        <item x="77"/>
        <item x="164"/>
        <item x="160"/>
        <item x="216"/>
        <item x="185"/>
        <item x="125"/>
        <item x="63"/>
        <item x="189"/>
        <item x="47"/>
        <item x="209"/>
        <item x="140"/>
        <item x="181"/>
        <item x="5"/>
        <item x="46"/>
        <item x="154"/>
        <item x="132"/>
        <item x="59"/>
        <item x="69"/>
        <item x="89"/>
        <item x="101"/>
        <item x="104"/>
        <item x="85"/>
        <item x="187"/>
        <item x="248"/>
        <item x="57"/>
        <item x="206"/>
        <item x="192"/>
        <item x="190"/>
        <item x="108"/>
        <item x="139"/>
        <item x="195"/>
        <item x="114"/>
        <item x="106"/>
        <item x="64"/>
        <item x="65"/>
        <item x="48"/>
        <item x="246"/>
        <item x="41"/>
        <item x="211"/>
        <item x="117"/>
        <item x="247"/>
        <item x="44"/>
        <item x="18"/>
        <item x="115"/>
        <item x="235"/>
        <item x="182"/>
        <item x="196"/>
        <item x="58"/>
        <item x="40"/>
        <item x="119"/>
        <item x="32"/>
        <item x="72"/>
        <item x="93"/>
        <item x="155"/>
        <item x="17"/>
        <item x="8"/>
        <item x="66"/>
        <item x="157"/>
        <item x="10"/>
        <item x="2"/>
        <item x="92"/>
        <item x="68"/>
        <item x="105"/>
        <item x="173"/>
        <item x="244"/>
        <item x="149"/>
        <item x="121"/>
        <item x="176"/>
        <item x="150"/>
        <item x="145"/>
        <item x="52"/>
        <item x="217"/>
        <item x="239"/>
        <item x="135"/>
        <item x="49"/>
        <item x="0"/>
        <item x="175"/>
        <item x="79"/>
        <item x="126"/>
        <item x="197"/>
        <item x="148"/>
        <item x="107"/>
        <item x="73"/>
        <item x="168"/>
        <item x="170"/>
        <item x="174"/>
        <item x="203"/>
        <item x="134"/>
        <item x="213"/>
        <item x="70"/>
        <item x="99"/>
        <item x="172"/>
        <item x="142"/>
        <item x="127"/>
        <item x="120"/>
        <item x="228"/>
        <item x="84"/>
        <item x="116"/>
        <item x="199"/>
        <item x="212"/>
        <item x="159"/>
        <item x="118"/>
        <item x="221"/>
        <item x="167"/>
        <item x="56"/>
        <item x="9"/>
        <item x="229"/>
        <item x="208"/>
        <item x="200"/>
        <item x="129"/>
        <item x="130"/>
        <item x="14"/>
        <item x="60"/>
        <item x="6"/>
        <item x="31"/>
        <item x="111"/>
        <item x="210"/>
        <item x="241"/>
        <item x="162"/>
        <item x="231"/>
        <item x="219"/>
        <item x="156"/>
        <item x="38"/>
        <item x="122"/>
        <item x="22"/>
        <item x="86"/>
        <item x="152"/>
        <item x="177"/>
        <item x="42"/>
        <item x="11"/>
        <item x="144"/>
        <item x="109"/>
        <item x="4"/>
        <item x="240"/>
        <item x="214"/>
        <item x="76"/>
        <item x="71"/>
        <item x="81"/>
        <item x="124"/>
        <item x="204"/>
        <item x="45"/>
        <item x="215"/>
        <item x="19"/>
        <item x="183"/>
        <item x="165"/>
        <item x="103"/>
        <item x="225"/>
        <item x="224"/>
        <item x="78"/>
        <item x="222"/>
        <item x="15"/>
        <item x="20"/>
        <item x="34"/>
        <item x="227"/>
        <item x="43"/>
        <item x="26"/>
        <item x="95"/>
        <item x="180"/>
        <item x="186"/>
        <item x="21"/>
        <item x="7"/>
        <item x="29"/>
        <item x="23"/>
        <item x="184"/>
        <item x="74"/>
        <item x="36"/>
        <item x="12"/>
        <item x="90"/>
        <item x="100"/>
        <item x="82"/>
        <item x="242"/>
        <item t="default"/>
      </items>
    </pivotField>
    <pivotField axis="axisRow" numFmtId="16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axis="axisRow" showAll="0">
      <items count="4">
        <item sd="0" x="1"/>
        <item sd="0" x="0"/>
        <item sd="0" x="2"/>
        <item t="default" sd="0"/>
      </items>
    </pivotField>
    <pivotField showAll="0"/>
    <pivotField showAll="0"/>
    <pivotField showAll="0"/>
    <pivotField showAll="0"/>
    <pivotField showAll="0"/>
    <pivotField numFmtId="164" showAll="0"/>
    <pivotField showAll="0"/>
    <pivotField numFmtId="22" showAll="0"/>
    <pivotField numFmtId="14" showAll="0"/>
    <pivotField dataField="1" showAll="0">
      <items count="251">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dataField="1" showAll="0">
      <items count="6">
        <item x="3"/>
        <item x="2"/>
        <item x="0"/>
        <item x="4"/>
        <item x="1"/>
        <item t="default"/>
      </items>
    </pivotField>
    <pivotField dataField="1" showAll="0">
      <items count="45">
        <item x="30"/>
        <item x="26"/>
        <item x="27"/>
        <item x="3"/>
        <item x="5"/>
        <item x="1"/>
        <item x="28"/>
        <item x="41"/>
        <item x="20"/>
        <item x="18"/>
        <item x="39"/>
        <item x="25"/>
        <item x="42"/>
        <item x="22"/>
        <item x="34"/>
        <item x="40"/>
        <item x="32"/>
        <item x="33"/>
        <item x="35"/>
        <item x="19"/>
        <item x="6"/>
        <item x="36"/>
        <item x="9"/>
        <item x="24"/>
        <item x="31"/>
        <item x="38"/>
        <item x="2"/>
        <item x="0"/>
        <item x="37"/>
        <item x="23"/>
        <item x="8"/>
        <item x="21"/>
        <item x="14"/>
        <item x="15"/>
        <item x="16"/>
        <item x="10"/>
        <item x="17"/>
        <item x="43"/>
        <item x="7"/>
        <item x="4"/>
        <item x="13"/>
        <item x="12"/>
        <item x="11"/>
        <item x="29"/>
        <item t="default"/>
      </items>
    </pivotField>
    <pivotField showAll="0">
      <items count="251">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5">
        <item sd="0" x="0"/>
        <item sd="0" x="1"/>
        <item sd="0" x="2"/>
        <item sd="0" x="3"/>
        <item t="default"/>
      </items>
    </pivotField>
  </pivotFields>
  <rowFields count="6">
    <field x="6"/>
    <field x="0"/>
    <field x="24"/>
    <field x="23"/>
    <field x="22"/>
    <field x="1"/>
  </rowFields>
  <rowItems count="4">
    <i>
      <x/>
    </i>
    <i>
      <x v="1"/>
    </i>
    <i>
      <x v="2"/>
    </i>
    <i t="grand">
      <x/>
    </i>
  </rowItems>
  <colFields count="1">
    <field x="-2"/>
  </colFields>
  <colItems count="3">
    <i>
      <x/>
    </i>
    <i i="1">
      <x v="1"/>
    </i>
    <i i="2">
      <x v="2"/>
    </i>
  </colItems>
  <dataFields count="3">
    <dataField name="Sum of Goal seek" fld="16" baseField="0" baseItem="0"/>
    <dataField name="Sum of High" fld="17" baseField="0" baseItem="0"/>
    <dataField name="Sum of New total" fld="18"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x14:conditionalFormats count="2">
          <x14:conditionalFormat priority="1" id="{4621B953-F1EB-4795-9C99-C18F9D770D82}">
            <x14:pivotAreas count="1">
              <pivotArea outline="0" fieldPosition="0">
                <references count="1">
                  <reference field="4294967294" count="1">
                    <x v="0"/>
                  </reference>
                </references>
              </pivotArea>
            </x14:pivotAreas>
          </x14:conditionalFormat>
          <x14:conditionalFormat priority="2" id="{5B9FFF61-FB8E-4584-BA49-AC1C81C2518E}">
            <x14:pivotAreas count="1">
              <pivotArea type="data" grandRow="1" outline="0" collapsedLevelsAreSubtotals="1" fieldPosition="0">
                <references count="1">
                  <reference field="4294967294" count="1" selected="0">
                    <x v="0"/>
                  </reference>
                </references>
              </pivotArea>
            </x14:pivotAreas>
          </x14:conditionalFormat>
        </x14:conditionalFormats>
      </x14:pivotTableDefinition>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228FC8E8-40B6-4B16-8173-7B5FC02DBD90}" sourceName="Months (Date)">
  <pivotTables>
    <pivotTable tabId="7" name="PivotTable10"/>
  </pivotTables>
  <data>
    <tabular pivotCacheId="1834468314">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1" xr10:uid="{E8BB876F-4BF9-481A-931C-863C89F9E331}" cache="Slicer_Months__Date" caption="Months (Dat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xr10:uid="{BD469507-9001-4CF0-A984-EB8D6CC34790}" cache="Slicer_Months__Date" caption="Months (Dat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C3BE956-237E-4AED-AA8A-5D6C7BAFEC29}" name="Table1" displayName="Table1" ref="A1:W251" totalsRowShown="0" headerRowDxfId="24" dataDxfId="23">
  <autoFilter ref="A1:W251" xr:uid="{8C3BE956-237E-4AED-AA8A-5D6C7BAFEC29}"/>
  <tableColumns count="23">
    <tableColumn id="1" xr3:uid="{D2BE5374-EA0E-4E55-885C-1D7FD74129E7}" name="Transaction_ID" dataDxfId="22"/>
    <tableColumn id="2" xr3:uid="{635E2E24-03FD-4112-9771-AB8A7EDD9A84}" name="Date" dataDxfId="21"/>
    <tableColumn id="3" xr3:uid="{15585FAB-5F13-4DEB-BE9B-1A35D8E06A23}" name="Customer_ID" dataDxfId="20"/>
    <tableColumn id="4" xr3:uid="{83DF04FA-9167-4A5F-8123-0372DABA61B2}" name="Customer_Name" dataDxfId="19"/>
    <tableColumn id="5" xr3:uid="{D3C9C35A-0188-41E7-B0CE-9A223CB867E9}" name="Product_ID" dataDxfId="18"/>
    <tableColumn id="6" xr3:uid="{6430FD11-3976-4D5D-887D-A3E827F73F82}" name="Product_Name" dataDxfId="17"/>
    <tableColumn id="7" xr3:uid="{CBC1B7A6-F457-417F-8086-93ED9622FDC9}" name="Category" dataDxfId="16"/>
    <tableColumn id="8" xr3:uid="{4A7B37C9-2DF9-467A-8D3F-93CDAC91C25E}" name="Quantity" dataDxfId="15"/>
    <tableColumn id="9" xr3:uid="{75A893F8-21F8-4736-91A2-AFC738F13063}" name="Unit_Price" dataDxfId="14"/>
    <tableColumn id="10" xr3:uid="{F2C823D9-E33D-4B9D-AE7F-F140FC64E876}" name="Payment_Method" dataDxfId="13"/>
    <tableColumn id="11" xr3:uid="{9E94C977-6DCC-4AAF-AE31-43D61345EEF4}" name="Region" dataDxfId="12"/>
    <tableColumn id="12" xr3:uid="{1D198344-79DC-42B2-B003-63CD597F58D7}" name="Customer_Segment" dataDxfId="11"/>
    <tableColumn id="13" xr3:uid="{C61EE8F7-1F08-4A81-B426-E442FD8EFA4A}" name="Customer_Since" dataDxfId="10"/>
    <tableColumn id="14" xr3:uid="{478B96B8-4EF7-4839-BDA3-5495011D5657}" name="Total_Amount" dataDxfId="9"/>
    <tableColumn id="15" xr3:uid="{F1464629-9DC9-4179-A3FF-AD6902D509D7}" name="Date_Time" dataDxfId="8">
      <calculatedColumnFormula>NOW()</calculatedColumnFormula>
    </tableColumn>
    <tableColumn id="16" xr3:uid="{3A169101-E3E1-41E2-A20B-CC48A32D4FD6}" name="Timestamp" dataDxfId="7">
      <calculatedColumnFormula>IF(A2&lt;&gt;"", IF(O2="", NOW(), O2), "")</calculatedColumnFormula>
    </tableColumn>
    <tableColumn id="17" xr3:uid="{EF83D89A-F89F-4317-9BBF-1AC71FD87F85}" name="Goal seek" dataDxfId="6">
      <calculatedColumnFormula>SUM(N2:N250)</calculatedColumnFormula>
    </tableColumn>
    <tableColumn id="18" xr3:uid="{E21649D5-164C-4007-A887-1B0ECE31D90C}" name="High" dataDxfId="5">
      <calculatedColumnFormula>H2*1.2</calculatedColumnFormula>
    </tableColumn>
    <tableColumn id="19" xr3:uid="{78937E78-9622-4F5E-B5AC-196A5F822B10}" name="New total" dataDxfId="4">
      <calculatedColumnFormula>(H2*1.2)*I2</calculatedColumnFormula>
    </tableColumn>
    <tableColumn id="20" xr3:uid="{EE420568-82AF-4412-94EB-F5CDA14B90EC}" name="Total revenue(High)" dataDxfId="3">
      <calculatedColumnFormula array="1">SUMPRODUCT(H2:H250*1.2, I2:I250)</calculatedColumnFormula>
    </tableColumn>
    <tableColumn id="21" xr3:uid="{ED3D5946-A393-401E-8B32-509E7B6D4124}" name="Discount Sale" dataDxfId="2">
      <calculatedColumnFormula array="1">SUMPRODUCT(H2:H250, I2:I250*0.9)</calculatedColumnFormula>
    </tableColumn>
    <tableColumn id="22" xr3:uid="{3F637F79-9EAF-4070-8EF2-78107F26FCDA}" name="Festival sale" dataDxfId="1">
      <calculatedColumnFormula array="1">SUMPRODUCT((H2:H250*1.15)*(I2:I250*0.95))</calculatedColumnFormula>
    </tableColumn>
    <tableColumn id="23" xr3:uid="{56C3A42E-8671-4586-A106-27DA766B7328}" name="Month" dataDxfId="0">
      <calculatedColumnFormula>MONTH(Table1[[#This Row],[Date]])</calculatedColumnFormula>
    </tableColumn>
  </tableColumns>
  <tableStyleInfo name="TableStyleMedium5"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25256-7F94-49E4-854F-E48C150DC529}">
  <dimension ref="H1:S23"/>
  <sheetViews>
    <sheetView showGridLines="0" showRowColHeaders="0" tabSelected="1" zoomScale="90" workbookViewId="0">
      <selection activeCell="F26" sqref="F26"/>
    </sheetView>
  </sheetViews>
  <sheetFormatPr defaultRowHeight="14.4" x14ac:dyDescent="0.3"/>
  <cols>
    <col min="1" max="15" width="8.88671875" style="11"/>
    <col min="16" max="16" width="13" style="11" customWidth="1"/>
    <col min="17" max="17" width="19.5546875" style="11" customWidth="1"/>
    <col min="18" max="18" width="17.21875" style="11" customWidth="1"/>
    <col min="19" max="19" width="18.44140625" style="11" customWidth="1"/>
    <col min="20" max="16384" width="8.88671875" style="11"/>
  </cols>
  <sheetData>
    <row r="1" spans="8:19" x14ac:dyDescent="0.3">
      <c r="H1" s="12" t="s">
        <v>419</v>
      </c>
      <c r="I1" s="13"/>
      <c r="J1" s="13"/>
      <c r="K1" s="13"/>
      <c r="L1" s="13"/>
      <c r="M1" s="13"/>
      <c r="N1" s="13"/>
      <c r="O1" s="13"/>
      <c r="P1" s="13"/>
      <c r="Q1" s="13"/>
    </row>
    <row r="2" spans="8:19" x14ac:dyDescent="0.3">
      <c r="H2" s="13"/>
      <c r="I2" s="13"/>
      <c r="J2" s="13"/>
      <c r="K2" s="13"/>
      <c r="L2" s="13"/>
      <c r="M2" s="13"/>
      <c r="N2" s="13"/>
      <c r="O2" s="13"/>
      <c r="P2" s="13"/>
      <c r="Q2" s="13"/>
    </row>
    <row r="3" spans="8:19" x14ac:dyDescent="0.3">
      <c r="H3" s="13"/>
      <c r="I3" s="13"/>
      <c r="J3" s="13"/>
      <c r="K3" s="13"/>
      <c r="L3" s="13"/>
      <c r="M3" s="13"/>
      <c r="N3" s="13"/>
      <c r="O3" s="13"/>
      <c r="P3" s="13"/>
      <c r="Q3" s="13"/>
    </row>
    <row r="4" spans="8:19" x14ac:dyDescent="0.3">
      <c r="H4" s="13"/>
      <c r="I4" s="13"/>
      <c r="J4" s="13"/>
      <c r="K4" s="13"/>
      <c r="L4" s="13"/>
      <c r="M4" s="13"/>
      <c r="N4" s="13"/>
      <c r="O4" s="13"/>
      <c r="P4" s="13"/>
      <c r="Q4" s="13"/>
    </row>
    <row r="5" spans="8:19" x14ac:dyDescent="0.3">
      <c r="H5" s="13"/>
      <c r="I5" s="13"/>
      <c r="J5" s="13"/>
      <c r="K5" s="13"/>
      <c r="L5" s="13"/>
      <c r="M5" s="13"/>
      <c r="N5" s="13"/>
      <c r="O5" s="13"/>
      <c r="P5" s="13"/>
      <c r="Q5" s="13"/>
    </row>
    <row r="6" spans="8:19" x14ac:dyDescent="0.3">
      <c r="H6" s="13"/>
      <c r="I6" s="13"/>
      <c r="J6" s="13"/>
      <c r="K6" s="13"/>
      <c r="L6" s="13"/>
      <c r="M6" s="13"/>
      <c r="N6" s="13"/>
      <c r="O6" s="13"/>
      <c r="P6" s="13"/>
      <c r="Q6" s="13"/>
    </row>
    <row r="10" spans="8:19" x14ac:dyDescent="0.3">
      <c r="P10" s="9" t="s">
        <v>409</v>
      </c>
      <c r="Q10" s="9" t="s">
        <v>418</v>
      </c>
      <c r="R10" t="s">
        <v>412</v>
      </c>
      <c r="S10" t="s">
        <v>410</v>
      </c>
    </row>
    <row r="11" spans="8:19" x14ac:dyDescent="0.3">
      <c r="P11" s="10" t="s">
        <v>22</v>
      </c>
      <c r="Q11">
        <v>10150798.673250007</v>
      </c>
      <c r="R11">
        <v>57427.790000000023</v>
      </c>
      <c r="S11">
        <v>19929.240000000009</v>
      </c>
    </row>
    <row r="12" spans="8:19" x14ac:dyDescent="0.3">
      <c r="P12" s="10" t="s">
        <v>28</v>
      </c>
      <c r="Q12">
        <v>9653190.760875009</v>
      </c>
      <c r="R12">
        <v>61447.960000000014</v>
      </c>
      <c r="S12">
        <v>20029.320000000018</v>
      </c>
    </row>
    <row r="13" spans="8:19" x14ac:dyDescent="0.3">
      <c r="P13" s="10" t="s">
        <v>59</v>
      </c>
      <c r="Q13">
        <v>6056820.2294250028</v>
      </c>
      <c r="R13">
        <v>52118.310000000005</v>
      </c>
      <c r="S13">
        <v>15349.459999999992</v>
      </c>
    </row>
    <row r="14" spans="8:19" x14ac:dyDescent="0.3">
      <c r="P14" s="10" t="s">
        <v>36</v>
      </c>
      <c r="Q14">
        <v>5965063.8966000034</v>
      </c>
      <c r="R14">
        <v>58198.409999999996</v>
      </c>
      <c r="S14">
        <v>18859.48</v>
      </c>
    </row>
    <row r="15" spans="8:19" x14ac:dyDescent="0.3">
      <c r="P15" s="10" t="s">
        <v>411</v>
      </c>
      <c r="Q15">
        <v>31825873.56015002</v>
      </c>
      <c r="R15">
        <v>229192.47000000003</v>
      </c>
      <c r="S15">
        <v>74167.500000000015</v>
      </c>
    </row>
    <row r="17" spans="16:19" x14ac:dyDescent="0.3">
      <c r="P17" s="9" t="s">
        <v>409</v>
      </c>
      <c r="Q17" s="9" t="s">
        <v>416</v>
      </c>
      <c r="R17" t="s">
        <v>417</v>
      </c>
      <c r="S17" t="s">
        <v>418</v>
      </c>
    </row>
    <row r="18" spans="16:19" x14ac:dyDescent="0.3">
      <c r="P18" s="10" t="s">
        <v>23</v>
      </c>
      <c r="Q18">
        <v>6840798.1560000032</v>
      </c>
      <c r="R18">
        <v>5130598.6170000015</v>
      </c>
      <c r="S18">
        <v>6227976.6545250025</v>
      </c>
    </row>
    <row r="19" spans="16:19" x14ac:dyDescent="0.3">
      <c r="P19" s="10" t="s">
        <v>65</v>
      </c>
      <c r="Q19">
        <v>7019220.6120000007</v>
      </c>
      <c r="R19">
        <v>5264415.4589999998</v>
      </c>
      <c r="S19">
        <v>6390415.4321750039</v>
      </c>
    </row>
    <row r="20" spans="16:19" x14ac:dyDescent="0.3">
      <c r="P20" s="10" t="s">
        <v>42</v>
      </c>
      <c r="Q20">
        <v>8791885.9800000004</v>
      </c>
      <c r="R20">
        <v>6593914.4850000031</v>
      </c>
      <c r="S20">
        <v>8004279.5276250057</v>
      </c>
    </row>
    <row r="21" spans="16:19" x14ac:dyDescent="0.3">
      <c r="P21" s="10" t="s">
        <v>37</v>
      </c>
      <c r="Q21">
        <v>5758505.3879999984</v>
      </c>
      <c r="R21">
        <v>4318879.0410000011</v>
      </c>
      <c r="S21">
        <v>5242639.280325002</v>
      </c>
    </row>
    <row r="22" spans="16:19" x14ac:dyDescent="0.3">
      <c r="P22" s="10" t="s">
        <v>52</v>
      </c>
      <c r="Q22">
        <v>6547071.1200000001</v>
      </c>
      <c r="R22">
        <v>4910303.3400000008</v>
      </c>
      <c r="S22">
        <v>5960562.6655000048</v>
      </c>
    </row>
    <row r="23" spans="16:19" x14ac:dyDescent="0.3">
      <c r="P23" s="10" t="s">
        <v>411</v>
      </c>
      <c r="Q23">
        <v>34957481.255999997</v>
      </c>
      <c r="R23">
        <v>26218110.942000005</v>
      </c>
      <c r="S23">
        <v>31825873.56015002</v>
      </c>
    </row>
  </sheetData>
  <mergeCells count="1">
    <mergeCell ref="H1:Q6"/>
  </mergeCells>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x14:cfRule type="iconSet" priority="6" id="{607CB960-4227-4F36-981A-C23FE3E5AD8C}">
            <x14:iconSet iconSet="3Triangles">
              <x14:cfvo type="percent">
                <xm:f>0</xm:f>
              </x14:cfvo>
              <x14:cfvo type="percent">
                <xm:f>33</xm:f>
              </x14:cfvo>
              <x14:cfvo type="percent">
                <xm:f>67</xm:f>
              </x14:cfvo>
            </x14:iconSet>
          </x14:cfRule>
          <xm:sqref>Q17</xm:sqref>
        </x14:conditionalFormatting>
        <x14:conditionalFormatting xmlns:xm="http://schemas.microsoft.com/office/excel/2006/main">
          <x14:cfRule type="iconSet" priority="5" id="{22B10286-37A0-4817-901D-36C26C792DF0}">
            <x14:iconSet iconSet="3Triangles">
              <x14:cfvo type="percent">
                <xm:f>0</xm:f>
              </x14:cfvo>
              <x14:cfvo type="percent">
                <xm:f>33</xm:f>
              </x14:cfvo>
              <x14:cfvo type="percent">
                <xm:f>67</xm:f>
              </x14:cfvo>
            </x14:iconSet>
          </x14:cfRule>
          <xm:sqref>Q17:Q23</xm:sqref>
        </x14:conditionalFormatting>
        <x14:conditionalFormatting xmlns:xm="http://schemas.microsoft.com/office/excel/2006/main" pivot="1">
          <x14:cfRule type="iconSet" priority="4" id="{A9AF9C22-E691-441C-BB00-72B0148ABCF7}">
            <x14:iconSet iconSet="3Triangles">
              <x14:cfvo type="percent">
                <xm:f>0</xm:f>
              </x14:cfvo>
              <x14:cfvo type="percent">
                <xm:f>33</xm:f>
              </x14:cfvo>
              <x14:cfvo type="percent">
                <xm:f>67</xm:f>
              </x14:cfvo>
            </x14:iconSet>
          </x14:cfRule>
          <xm:sqref>R18:R23</xm:sqref>
        </x14:conditionalFormatting>
        <x14:conditionalFormatting xmlns:xm="http://schemas.microsoft.com/office/excel/2006/main" pivot="1">
          <x14:cfRule type="iconSet" priority="3" id="{79712F67-9B7B-4894-9349-E9EB3E2DABF4}">
            <x14:iconSet iconSet="3Triangles">
              <x14:cfvo type="percent">
                <xm:f>0</xm:f>
              </x14:cfvo>
              <x14:cfvo type="percent">
                <xm:f>33</xm:f>
              </x14:cfvo>
              <x14:cfvo type="percent">
                <xm:f>67</xm:f>
              </x14:cfvo>
            </x14:iconSet>
          </x14:cfRule>
          <xm:sqref>S18:S23</xm:sqref>
        </x14:conditionalFormatting>
        <x14:conditionalFormatting xmlns:xm="http://schemas.microsoft.com/office/excel/2006/main" pivot="1">
          <x14:cfRule type="iconSet" priority="2" id="{99950726-7723-4D21-89AD-DDD341EF7A6F}">
            <x14:iconSet iconSet="3Triangles">
              <x14:cfvo type="percent">
                <xm:f>0</xm:f>
              </x14:cfvo>
              <x14:cfvo type="percent">
                <xm:f>33</xm:f>
              </x14:cfvo>
              <x14:cfvo type="percent">
                <xm:f>67</xm:f>
              </x14:cfvo>
            </x14:iconSet>
          </x14:cfRule>
          <xm:sqref>Q11:Q15</xm:sqref>
        </x14:conditionalFormatting>
        <x14:conditionalFormatting xmlns:xm="http://schemas.microsoft.com/office/excel/2006/main" pivot="1">
          <x14:cfRule type="iconSet" priority="1" id="{990E2322-C7E2-46B5-8C2E-3C031E46ECB8}">
            <x14:iconSet iconSet="3Triangles">
              <x14:cfvo type="percent">
                <xm:f>0</xm:f>
              </x14:cfvo>
              <x14:cfvo type="percent">
                <xm:f>33</xm:f>
              </x14:cfvo>
              <x14:cfvo type="percent">
                <xm:f>67</xm:f>
              </x14:cfvo>
            </x14:iconSet>
          </x14:cfRule>
          <xm:sqref>R11:R15</xm:sqref>
        </x14:conditionalFormatting>
      </x14:conditionalFormattings>
    </ex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0"/>
  <sheetViews>
    <sheetView topLeftCell="A2" workbookViewId="0">
      <selection activeCell="A2" sqref="A2"/>
    </sheetView>
  </sheetViews>
  <sheetFormatPr defaultColWidth="14.44140625" defaultRowHeight="15" customHeight="1" x14ac:dyDescent="0.3"/>
  <cols>
    <col min="1" max="1" width="94.88671875" customWidth="1"/>
    <col min="2" max="25" width="8.6640625" customWidth="1"/>
  </cols>
  <sheetData>
    <row r="1" spans="1:25" ht="14.4" x14ac:dyDescent="0.3">
      <c r="A1" s="1" t="s">
        <v>0</v>
      </c>
      <c r="B1" s="2"/>
      <c r="C1" s="2"/>
      <c r="D1" s="2"/>
      <c r="E1" s="2"/>
      <c r="F1" s="2"/>
      <c r="G1" s="2"/>
      <c r="H1" s="2"/>
      <c r="I1" s="2"/>
      <c r="J1" s="2"/>
      <c r="K1" s="2"/>
      <c r="L1" s="2"/>
      <c r="M1" s="2"/>
      <c r="N1" s="2"/>
      <c r="O1" s="2"/>
      <c r="P1" s="2"/>
      <c r="Q1" s="2"/>
      <c r="R1" s="2"/>
      <c r="S1" s="2"/>
      <c r="T1" s="2"/>
      <c r="U1" s="2"/>
      <c r="V1" s="2"/>
      <c r="W1" s="2"/>
      <c r="X1" s="2"/>
      <c r="Y1" s="2"/>
    </row>
    <row r="2" spans="1:25" ht="409.6" x14ac:dyDescent="0.3">
      <c r="A2" s="6" t="s">
        <v>1</v>
      </c>
      <c r="B2" s="2"/>
      <c r="C2" s="2"/>
      <c r="D2" s="2"/>
      <c r="E2" s="2"/>
      <c r="F2" s="2"/>
      <c r="G2" s="2"/>
      <c r="H2" s="2"/>
      <c r="I2" s="2"/>
      <c r="J2" s="2"/>
      <c r="K2" s="2"/>
      <c r="L2" s="2"/>
      <c r="M2" s="2"/>
      <c r="N2" s="2"/>
      <c r="O2" s="2"/>
      <c r="P2" s="2"/>
      <c r="Q2" s="2"/>
      <c r="R2" s="2"/>
      <c r="S2" s="2"/>
      <c r="T2" s="2"/>
      <c r="U2" s="2"/>
      <c r="V2" s="2"/>
      <c r="W2" s="2"/>
      <c r="X2" s="2"/>
      <c r="Y2" s="2"/>
    </row>
    <row r="3" spans="1:25" ht="14.4" x14ac:dyDescent="0.3">
      <c r="A3" s="2"/>
      <c r="B3" s="2"/>
      <c r="C3" s="2"/>
      <c r="D3" s="2"/>
      <c r="E3" s="2"/>
      <c r="F3" s="2"/>
      <c r="G3" s="2"/>
      <c r="H3" s="2"/>
      <c r="I3" s="2"/>
      <c r="J3" s="2"/>
      <c r="K3" s="2"/>
      <c r="L3" s="2"/>
      <c r="M3" s="2"/>
      <c r="N3" s="2"/>
      <c r="O3" s="2"/>
      <c r="P3" s="2"/>
      <c r="Q3" s="2"/>
      <c r="R3" s="2"/>
      <c r="S3" s="2"/>
      <c r="T3" s="2"/>
      <c r="U3" s="2"/>
      <c r="V3" s="2"/>
      <c r="W3" s="2"/>
      <c r="X3" s="2"/>
      <c r="Y3" s="2"/>
    </row>
    <row r="4" spans="1:25" ht="14.4" x14ac:dyDescent="0.3">
      <c r="A4" s="2"/>
      <c r="B4" s="2"/>
      <c r="C4" s="2"/>
      <c r="D4" s="2"/>
      <c r="E4" s="2"/>
      <c r="F4" s="2"/>
      <c r="G4" s="2"/>
      <c r="H4" s="2"/>
      <c r="I4" s="2"/>
      <c r="J4" s="2"/>
      <c r="K4" s="2"/>
      <c r="L4" s="2"/>
      <c r="M4" s="2"/>
      <c r="N4" s="2"/>
      <c r="O4" s="2"/>
      <c r="P4" s="2"/>
      <c r="Q4" s="2"/>
      <c r="R4" s="2"/>
      <c r="S4" s="2"/>
      <c r="T4" s="2"/>
      <c r="U4" s="2"/>
      <c r="V4" s="2"/>
      <c r="W4" s="2"/>
      <c r="X4" s="2"/>
      <c r="Y4" s="2"/>
    </row>
    <row r="5" spans="1:25" ht="14.4" x14ac:dyDescent="0.3">
      <c r="A5" s="2"/>
      <c r="B5" s="2"/>
      <c r="C5" s="2"/>
      <c r="D5" s="2"/>
      <c r="E5" s="2"/>
      <c r="F5" s="2"/>
      <c r="G5" s="2"/>
      <c r="H5" s="2"/>
      <c r="I5" s="2"/>
      <c r="J5" s="2"/>
      <c r="K5" s="2"/>
      <c r="L5" s="2"/>
      <c r="M5" s="2"/>
      <c r="N5" s="2"/>
      <c r="O5" s="2"/>
      <c r="P5" s="2"/>
      <c r="Q5" s="2"/>
      <c r="R5" s="2"/>
      <c r="S5" s="2"/>
      <c r="T5" s="2"/>
      <c r="U5" s="2"/>
      <c r="V5" s="2"/>
      <c r="W5" s="2"/>
      <c r="X5" s="2"/>
      <c r="Y5" s="2"/>
    </row>
    <row r="6" spans="1:25" ht="14.4" x14ac:dyDescent="0.3">
      <c r="A6" s="2"/>
      <c r="B6" s="2"/>
      <c r="C6" s="2"/>
      <c r="D6" s="2"/>
      <c r="E6" s="2"/>
      <c r="F6" s="2"/>
      <c r="G6" s="2"/>
      <c r="H6" s="2"/>
      <c r="I6" s="2"/>
      <c r="J6" s="2"/>
      <c r="K6" s="2"/>
      <c r="L6" s="2"/>
      <c r="M6" s="2"/>
      <c r="N6" s="2"/>
      <c r="O6" s="2"/>
      <c r="P6" s="2"/>
      <c r="Q6" s="2"/>
      <c r="R6" s="2"/>
      <c r="S6" s="2"/>
      <c r="T6" s="2"/>
      <c r="U6" s="2"/>
      <c r="V6" s="2"/>
      <c r="W6" s="2"/>
      <c r="X6" s="2"/>
      <c r="Y6" s="2"/>
    </row>
    <row r="7" spans="1:25" ht="14.4" x14ac:dyDescent="0.3">
      <c r="A7" s="2"/>
      <c r="B7" s="2"/>
      <c r="C7" s="2"/>
      <c r="D7" s="2"/>
      <c r="E7" s="2"/>
      <c r="F7" s="2"/>
      <c r="G7" s="2"/>
      <c r="H7" s="2"/>
      <c r="I7" s="2"/>
      <c r="J7" s="2"/>
      <c r="K7" s="2"/>
      <c r="L7" s="2"/>
      <c r="M7" s="2"/>
      <c r="N7" s="2"/>
      <c r="O7" s="2"/>
      <c r="P7" s="2"/>
      <c r="Q7" s="2"/>
      <c r="R7" s="2"/>
      <c r="S7" s="2"/>
      <c r="T7" s="2"/>
      <c r="U7" s="2"/>
      <c r="V7" s="2"/>
      <c r="W7" s="2"/>
      <c r="X7" s="2"/>
      <c r="Y7" s="2"/>
    </row>
    <row r="8" spans="1:25" ht="14.4" x14ac:dyDescent="0.3">
      <c r="A8" s="2"/>
      <c r="B8" s="2"/>
      <c r="C8" s="2"/>
      <c r="D8" s="2"/>
      <c r="E8" s="2"/>
      <c r="F8" s="2"/>
      <c r="G8" s="2"/>
      <c r="H8" s="2"/>
      <c r="I8" s="2"/>
      <c r="J8" s="2"/>
      <c r="K8" s="2"/>
      <c r="L8" s="2"/>
      <c r="M8" s="2"/>
      <c r="N8" s="2"/>
      <c r="O8" s="2"/>
      <c r="P8" s="2"/>
      <c r="Q8" s="2"/>
      <c r="R8" s="2"/>
      <c r="S8" s="2"/>
      <c r="T8" s="2"/>
      <c r="U8" s="2"/>
      <c r="V8" s="2"/>
      <c r="W8" s="2"/>
      <c r="X8" s="2"/>
      <c r="Y8" s="2"/>
    </row>
    <row r="9" spans="1:25" ht="14.4" x14ac:dyDescent="0.3">
      <c r="A9" s="2"/>
      <c r="B9" s="2"/>
      <c r="C9" s="2"/>
      <c r="D9" s="2"/>
      <c r="E9" s="2"/>
      <c r="F9" s="2"/>
      <c r="G9" s="2"/>
      <c r="H9" s="2"/>
      <c r="I9" s="2"/>
      <c r="J9" s="2"/>
      <c r="K9" s="2"/>
      <c r="L9" s="2"/>
      <c r="M9" s="2"/>
      <c r="N9" s="2"/>
      <c r="O9" s="2"/>
      <c r="P9" s="2"/>
      <c r="Q9" s="2"/>
      <c r="R9" s="2"/>
      <c r="S9" s="2"/>
      <c r="T9" s="2"/>
      <c r="U9" s="2"/>
      <c r="V9" s="2"/>
      <c r="W9" s="2"/>
      <c r="X9" s="2"/>
      <c r="Y9" s="2"/>
    </row>
    <row r="10" spans="1:25" ht="14.4" x14ac:dyDescent="0.3">
      <c r="A10" s="2"/>
      <c r="B10" s="2"/>
      <c r="C10" s="2"/>
      <c r="D10" s="2"/>
      <c r="E10" s="2"/>
      <c r="F10" s="2"/>
      <c r="G10" s="2"/>
      <c r="H10" s="2"/>
      <c r="I10" s="2"/>
      <c r="J10" s="2"/>
      <c r="K10" s="2"/>
      <c r="L10" s="2"/>
      <c r="M10" s="2"/>
      <c r="N10" s="2"/>
      <c r="O10" s="2"/>
      <c r="P10" s="2"/>
      <c r="Q10" s="2"/>
      <c r="R10" s="2"/>
      <c r="S10" s="2"/>
      <c r="T10" s="2"/>
      <c r="U10" s="2"/>
      <c r="V10" s="2"/>
      <c r="W10" s="2"/>
      <c r="X10" s="2"/>
      <c r="Y10" s="2"/>
    </row>
    <row r="11" spans="1:25" ht="14.4" x14ac:dyDescent="0.3">
      <c r="A11" s="2"/>
      <c r="B11" s="2"/>
      <c r="C11" s="2"/>
      <c r="D11" s="2"/>
      <c r="E11" s="2"/>
      <c r="F11" s="2"/>
      <c r="G11" s="2"/>
      <c r="H11" s="2"/>
      <c r="I11" s="2"/>
      <c r="J11" s="2"/>
      <c r="K11" s="2"/>
      <c r="L11" s="2"/>
      <c r="M11" s="2"/>
      <c r="N11" s="2"/>
      <c r="O11" s="2"/>
      <c r="P11" s="2"/>
      <c r="Q11" s="2"/>
      <c r="R11" s="2"/>
      <c r="S11" s="2"/>
      <c r="T11" s="2"/>
      <c r="U11" s="2"/>
      <c r="V11" s="2"/>
      <c r="W11" s="2"/>
      <c r="X11" s="2"/>
      <c r="Y11" s="2"/>
    </row>
    <row r="12" spans="1:25" ht="14.4" x14ac:dyDescent="0.3">
      <c r="A12" s="2"/>
      <c r="B12" s="2"/>
      <c r="C12" s="2"/>
      <c r="D12" s="2"/>
      <c r="E12" s="2"/>
      <c r="F12" s="2"/>
      <c r="G12" s="2"/>
      <c r="H12" s="2"/>
      <c r="I12" s="2"/>
      <c r="J12" s="2"/>
      <c r="K12" s="2"/>
      <c r="L12" s="2"/>
      <c r="M12" s="2"/>
      <c r="N12" s="2"/>
      <c r="O12" s="2"/>
      <c r="P12" s="2"/>
      <c r="Q12" s="2"/>
      <c r="R12" s="2"/>
      <c r="S12" s="2"/>
      <c r="T12" s="2"/>
      <c r="U12" s="2"/>
      <c r="V12" s="2"/>
      <c r="W12" s="2"/>
      <c r="X12" s="2"/>
      <c r="Y12" s="2"/>
    </row>
    <row r="13" spans="1:25" ht="14.4" x14ac:dyDescent="0.3">
      <c r="A13" s="2"/>
      <c r="B13" s="2"/>
      <c r="C13" s="2"/>
      <c r="D13" s="2"/>
      <c r="E13" s="2"/>
      <c r="F13" s="2"/>
      <c r="G13" s="2"/>
      <c r="H13" s="2"/>
      <c r="I13" s="2"/>
      <c r="J13" s="2"/>
      <c r="K13" s="2"/>
      <c r="L13" s="2"/>
      <c r="M13" s="2"/>
      <c r="N13" s="2"/>
      <c r="O13" s="2"/>
      <c r="P13" s="2"/>
      <c r="Q13" s="2"/>
      <c r="R13" s="2"/>
      <c r="S13" s="2"/>
      <c r="T13" s="2"/>
      <c r="U13" s="2"/>
      <c r="V13" s="2"/>
      <c r="W13" s="2"/>
      <c r="X13" s="2"/>
      <c r="Y13" s="2"/>
    </row>
    <row r="14" spans="1:25" ht="14.4" x14ac:dyDescent="0.3">
      <c r="A14" s="2"/>
      <c r="B14" s="2"/>
      <c r="C14" s="2"/>
      <c r="D14" s="2"/>
      <c r="E14" s="2"/>
      <c r="F14" s="2"/>
      <c r="G14" s="2"/>
      <c r="H14" s="2"/>
      <c r="I14" s="2"/>
      <c r="J14" s="2"/>
      <c r="K14" s="2"/>
      <c r="L14" s="2"/>
      <c r="M14" s="2"/>
      <c r="N14" s="2"/>
      <c r="O14" s="2"/>
      <c r="P14" s="2"/>
      <c r="Q14" s="2"/>
      <c r="R14" s="2"/>
      <c r="S14" s="2"/>
      <c r="T14" s="2"/>
      <c r="U14" s="2"/>
      <c r="V14" s="2"/>
      <c r="W14" s="2"/>
      <c r="X14" s="2"/>
      <c r="Y14" s="2"/>
    </row>
    <row r="15" spans="1:25" ht="14.4" x14ac:dyDescent="0.3">
      <c r="A15" s="2"/>
      <c r="B15" s="2"/>
      <c r="C15" s="2"/>
      <c r="D15" s="2"/>
      <c r="E15" s="2"/>
      <c r="F15" s="2"/>
      <c r="G15" s="2"/>
      <c r="H15" s="2"/>
      <c r="I15" s="2"/>
      <c r="J15" s="2"/>
      <c r="K15" s="2"/>
      <c r="L15" s="2"/>
      <c r="M15" s="2"/>
      <c r="N15" s="2"/>
      <c r="O15" s="2"/>
      <c r="P15" s="2"/>
      <c r="Q15" s="2"/>
      <c r="R15" s="2"/>
      <c r="S15" s="2"/>
      <c r="T15" s="2"/>
      <c r="U15" s="2"/>
      <c r="V15" s="2"/>
      <c r="W15" s="2"/>
      <c r="X15" s="2"/>
      <c r="Y15" s="2"/>
    </row>
    <row r="16" spans="1:25" ht="14.4" x14ac:dyDescent="0.3">
      <c r="A16" s="2"/>
      <c r="B16" s="2"/>
      <c r="C16" s="2"/>
      <c r="D16" s="2"/>
      <c r="E16" s="2"/>
      <c r="F16" s="2"/>
      <c r="G16" s="2"/>
      <c r="H16" s="2"/>
      <c r="I16" s="2"/>
      <c r="J16" s="2"/>
      <c r="K16" s="2"/>
      <c r="L16" s="2"/>
      <c r="M16" s="2"/>
      <c r="N16" s="2"/>
      <c r="O16" s="2"/>
      <c r="P16" s="2"/>
      <c r="Q16" s="2"/>
      <c r="R16" s="2"/>
      <c r="S16" s="2"/>
      <c r="T16" s="2"/>
      <c r="U16" s="2"/>
      <c r="V16" s="2"/>
      <c r="W16" s="2"/>
      <c r="X16" s="2"/>
      <c r="Y16" s="2"/>
    </row>
    <row r="17" spans="1:25" ht="14.4" x14ac:dyDescent="0.3">
      <c r="A17" s="2"/>
      <c r="B17" s="2"/>
      <c r="C17" s="2"/>
      <c r="D17" s="2"/>
      <c r="E17" s="2"/>
      <c r="F17" s="2"/>
      <c r="G17" s="2"/>
      <c r="H17" s="2"/>
      <c r="I17" s="2"/>
      <c r="J17" s="2"/>
      <c r="K17" s="2"/>
      <c r="L17" s="2"/>
      <c r="M17" s="2"/>
      <c r="N17" s="2"/>
      <c r="O17" s="2"/>
      <c r="P17" s="2"/>
      <c r="Q17" s="2"/>
      <c r="R17" s="2"/>
      <c r="S17" s="2"/>
      <c r="T17" s="2"/>
      <c r="U17" s="2"/>
      <c r="V17" s="2"/>
      <c r="W17" s="2"/>
      <c r="X17" s="2"/>
      <c r="Y17" s="2"/>
    </row>
    <row r="18" spans="1:25" ht="14.4" x14ac:dyDescent="0.3">
      <c r="A18" s="2"/>
      <c r="B18" s="2"/>
      <c r="C18" s="2"/>
      <c r="D18" s="2"/>
      <c r="E18" s="2"/>
      <c r="F18" s="2"/>
      <c r="G18" s="2"/>
      <c r="H18" s="2"/>
      <c r="I18" s="2"/>
      <c r="J18" s="2"/>
      <c r="K18" s="2"/>
      <c r="L18" s="2"/>
      <c r="M18" s="2"/>
      <c r="N18" s="2"/>
      <c r="O18" s="2"/>
      <c r="P18" s="2"/>
      <c r="Q18" s="2"/>
      <c r="R18" s="2"/>
      <c r="S18" s="2"/>
      <c r="T18" s="2"/>
      <c r="U18" s="2"/>
      <c r="V18" s="2"/>
      <c r="W18" s="2"/>
      <c r="X18" s="2"/>
      <c r="Y18" s="2"/>
    </row>
    <row r="19" spans="1:25" ht="14.4" x14ac:dyDescent="0.3">
      <c r="A19" s="2"/>
      <c r="B19" s="2"/>
      <c r="C19" s="2"/>
      <c r="D19" s="2"/>
      <c r="E19" s="2"/>
      <c r="F19" s="2"/>
      <c r="G19" s="2"/>
      <c r="H19" s="2"/>
      <c r="I19" s="2"/>
      <c r="J19" s="2"/>
      <c r="K19" s="2"/>
      <c r="L19" s="2"/>
      <c r="M19" s="2"/>
      <c r="N19" s="2"/>
      <c r="O19" s="2"/>
      <c r="P19" s="2"/>
      <c r="Q19" s="2"/>
      <c r="R19" s="2"/>
      <c r="S19" s="2"/>
      <c r="T19" s="2"/>
      <c r="U19" s="2"/>
      <c r="V19" s="2"/>
      <c r="W19" s="2"/>
      <c r="X19" s="2"/>
      <c r="Y19" s="2"/>
    </row>
    <row r="20" spans="1:25" ht="14.4" x14ac:dyDescent="0.3">
      <c r="A20" s="2"/>
      <c r="B20" s="2"/>
      <c r="C20" s="2"/>
      <c r="D20" s="2"/>
      <c r="E20" s="2"/>
      <c r="F20" s="2"/>
      <c r="G20" s="2"/>
      <c r="H20" s="2"/>
      <c r="I20" s="2"/>
      <c r="J20" s="2"/>
      <c r="K20" s="2"/>
      <c r="L20" s="2"/>
      <c r="M20" s="2"/>
      <c r="N20" s="2"/>
      <c r="O20" s="2"/>
      <c r="P20" s="2"/>
      <c r="Q20" s="2"/>
      <c r="R20" s="2"/>
      <c r="S20" s="2"/>
      <c r="T20" s="2"/>
      <c r="U20" s="2"/>
      <c r="V20" s="2"/>
      <c r="W20" s="2"/>
      <c r="X20" s="2"/>
      <c r="Y20" s="2"/>
    </row>
    <row r="21" spans="1:25" ht="15.75" customHeight="1" x14ac:dyDescent="0.3">
      <c r="A21" s="2"/>
      <c r="B21" s="2"/>
      <c r="C21" s="2"/>
      <c r="D21" s="2"/>
      <c r="E21" s="2"/>
      <c r="F21" s="2"/>
      <c r="G21" s="2"/>
      <c r="H21" s="2"/>
      <c r="I21" s="2"/>
      <c r="J21" s="2"/>
      <c r="K21" s="2"/>
      <c r="L21" s="2"/>
      <c r="M21" s="2"/>
      <c r="N21" s="2"/>
      <c r="O21" s="2"/>
      <c r="P21" s="2"/>
      <c r="Q21" s="2"/>
      <c r="R21" s="2"/>
      <c r="S21" s="2"/>
      <c r="T21" s="2"/>
      <c r="U21" s="2"/>
      <c r="V21" s="2"/>
      <c r="W21" s="2"/>
      <c r="X21" s="2"/>
      <c r="Y21" s="2"/>
    </row>
    <row r="22" spans="1:25" ht="15.75" customHeight="1" x14ac:dyDescent="0.3">
      <c r="A22" s="2"/>
      <c r="B22" s="2"/>
      <c r="C22" s="2"/>
      <c r="D22" s="2"/>
      <c r="E22" s="2"/>
      <c r="F22" s="2"/>
      <c r="G22" s="2"/>
      <c r="H22" s="2"/>
      <c r="I22" s="2"/>
      <c r="J22" s="2"/>
      <c r="K22" s="2"/>
      <c r="L22" s="2"/>
      <c r="M22" s="2"/>
      <c r="N22" s="2"/>
      <c r="O22" s="2"/>
      <c r="P22" s="2"/>
      <c r="Q22" s="2"/>
      <c r="R22" s="2"/>
      <c r="S22" s="2"/>
      <c r="T22" s="2"/>
      <c r="U22" s="2"/>
      <c r="V22" s="2"/>
      <c r="W22" s="2"/>
      <c r="X22" s="2"/>
      <c r="Y22" s="2"/>
    </row>
    <row r="23" spans="1:25" ht="15.75" customHeight="1" x14ac:dyDescent="0.3">
      <c r="A23" s="2"/>
      <c r="B23" s="2"/>
      <c r="C23" s="2"/>
      <c r="D23" s="2"/>
      <c r="E23" s="2"/>
      <c r="F23" s="2"/>
      <c r="G23" s="2"/>
      <c r="H23" s="2"/>
      <c r="I23" s="2"/>
      <c r="J23" s="2"/>
      <c r="K23" s="2"/>
      <c r="L23" s="2"/>
      <c r="M23" s="2"/>
      <c r="N23" s="2"/>
      <c r="O23" s="2"/>
      <c r="P23" s="2"/>
      <c r="Q23" s="2"/>
      <c r="R23" s="2"/>
      <c r="S23" s="2"/>
      <c r="T23" s="2"/>
      <c r="U23" s="2"/>
      <c r="V23" s="2"/>
      <c r="W23" s="2"/>
      <c r="X23" s="2"/>
      <c r="Y23" s="2"/>
    </row>
    <row r="24" spans="1:25" ht="15.75" customHeight="1" x14ac:dyDescent="0.3">
      <c r="A24" s="2"/>
      <c r="B24" s="2"/>
      <c r="C24" s="2"/>
      <c r="D24" s="2"/>
      <c r="E24" s="2"/>
      <c r="F24" s="2"/>
      <c r="G24" s="2"/>
      <c r="H24" s="2"/>
      <c r="I24" s="2"/>
      <c r="J24" s="2"/>
      <c r="K24" s="2"/>
      <c r="L24" s="2"/>
      <c r="M24" s="2"/>
      <c r="N24" s="2"/>
      <c r="O24" s="2"/>
      <c r="P24" s="2"/>
      <c r="Q24" s="2"/>
      <c r="R24" s="2"/>
      <c r="S24" s="2"/>
      <c r="T24" s="2"/>
      <c r="U24" s="2"/>
      <c r="V24" s="2"/>
      <c r="W24" s="2"/>
      <c r="X24" s="2"/>
      <c r="Y24" s="2"/>
    </row>
    <row r="25" spans="1:25" ht="15.75" customHeight="1" x14ac:dyDescent="0.3">
      <c r="A25" s="2"/>
      <c r="B25" s="2"/>
      <c r="C25" s="2"/>
      <c r="D25" s="2"/>
      <c r="E25" s="2"/>
      <c r="F25" s="2"/>
      <c r="G25" s="2"/>
      <c r="H25" s="2"/>
      <c r="I25" s="2"/>
      <c r="J25" s="2"/>
      <c r="K25" s="2"/>
      <c r="L25" s="2"/>
      <c r="M25" s="2"/>
      <c r="N25" s="2"/>
      <c r="O25" s="2"/>
      <c r="P25" s="2"/>
      <c r="Q25" s="2"/>
      <c r="R25" s="2"/>
      <c r="S25" s="2"/>
      <c r="T25" s="2"/>
      <c r="U25" s="2"/>
      <c r="V25" s="2"/>
      <c r="W25" s="2"/>
      <c r="X25" s="2"/>
      <c r="Y25" s="2"/>
    </row>
    <row r="26" spans="1:25" ht="15.75" customHeight="1" x14ac:dyDescent="0.3">
      <c r="A26" s="2"/>
      <c r="B26" s="2"/>
      <c r="C26" s="2"/>
      <c r="D26" s="2"/>
      <c r="E26" s="2"/>
      <c r="F26" s="2"/>
      <c r="G26" s="2"/>
      <c r="H26" s="2"/>
      <c r="I26" s="2"/>
      <c r="J26" s="2"/>
      <c r="K26" s="2"/>
      <c r="L26" s="2"/>
      <c r="M26" s="2"/>
      <c r="N26" s="2"/>
      <c r="O26" s="2"/>
      <c r="P26" s="2"/>
      <c r="Q26" s="2"/>
      <c r="R26" s="2"/>
      <c r="S26" s="2"/>
      <c r="T26" s="2"/>
      <c r="U26" s="2"/>
      <c r="V26" s="2"/>
      <c r="W26" s="2"/>
      <c r="X26" s="2"/>
      <c r="Y26" s="2"/>
    </row>
    <row r="27" spans="1:25" ht="15.75" customHeight="1" x14ac:dyDescent="0.3">
      <c r="A27" s="2"/>
      <c r="B27" s="2"/>
      <c r="C27" s="2"/>
      <c r="D27" s="2"/>
      <c r="E27" s="2"/>
      <c r="F27" s="2"/>
      <c r="G27" s="2"/>
      <c r="H27" s="2"/>
      <c r="I27" s="2"/>
      <c r="J27" s="2"/>
      <c r="K27" s="2"/>
      <c r="L27" s="2"/>
      <c r="M27" s="2"/>
      <c r="N27" s="2"/>
      <c r="O27" s="2"/>
      <c r="P27" s="2"/>
      <c r="Q27" s="2"/>
      <c r="R27" s="2"/>
      <c r="S27" s="2"/>
      <c r="T27" s="2"/>
      <c r="U27" s="2"/>
      <c r="V27" s="2"/>
      <c r="W27" s="2"/>
      <c r="X27" s="2"/>
      <c r="Y27" s="2"/>
    </row>
    <row r="28" spans="1:25" ht="15.75" customHeight="1" x14ac:dyDescent="0.3">
      <c r="A28" s="2"/>
      <c r="B28" s="2"/>
      <c r="C28" s="2"/>
      <c r="D28" s="2"/>
      <c r="E28" s="2"/>
      <c r="F28" s="2"/>
      <c r="G28" s="2"/>
      <c r="H28" s="2"/>
      <c r="I28" s="2"/>
      <c r="J28" s="2"/>
      <c r="K28" s="2"/>
      <c r="L28" s="2"/>
      <c r="M28" s="2"/>
      <c r="N28" s="2"/>
      <c r="O28" s="2"/>
      <c r="P28" s="2"/>
      <c r="Q28" s="2"/>
      <c r="R28" s="2"/>
      <c r="S28" s="2"/>
      <c r="T28" s="2"/>
      <c r="U28" s="2"/>
      <c r="V28" s="2"/>
      <c r="W28" s="2"/>
      <c r="X28" s="2"/>
      <c r="Y28" s="2"/>
    </row>
    <row r="29" spans="1:25" ht="15.75" customHeight="1" x14ac:dyDescent="0.3">
      <c r="A29" s="2"/>
      <c r="B29" s="2"/>
      <c r="C29" s="2"/>
      <c r="D29" s="2"/>
      <c r="E29" s="2"/>
      <c r="F29" s="2"/>
      <c r="G29" s="2"/>
      <c r="H29" s="2"/>
      <c r="I29" s="2"/>
      <c r="J29" s="2"/>
      <c r="K29" s="2"/>
      <c r="L29" s="2"/>
      <c r="M29" s="2"/>
      <c r="N29" s="2"/>
      <c r="O29" s="2"/>
      <c r="P29" s="2"/>
      <c r="Q29" s="2"/>
      <c r="R29" s="2"/>
      <c r="S29" s="2"/>
      <c r="T29" s="2"/>
      <c r="U29" s="2"/>
      <c r="V29" s="2"/>
      <c r="W29" s="2"/>
      <c r="X29" s="2"/>
      <c r="Y29" s="2"/>
    </row>
    <row r="30" spans="1:25" ht="15.75" customHeight="1" x14ac:dyDescent="0.3">
      <c r="A30" s="2"/>
      <c r="B30" s="2"/>
      <c r="C30" s="2"/>
      <c r="D30" s="2"/>
      <c r="E30" s="2"/>
      <c r="F30" s="2"/>
      <c r="G30" s="2"/>
      <c r="H30" s="2"/>
      <c r="I30" s="2"/>
      <c r="J30" s="2"/>
      <c r="K30" s="2"/>
      <c r="L30" s="2"/>
      <c r="M30" s="2"/>
      <c r="N30" s="2"/>
      <c r="O30" s="2"/>
      <c r="P30" s="2"/>
      <c r="Q30" s="2"/>
      <c r="R30" s="2"/>
      <c r="S30" s="2"/>
      <c r="T30" s="2"/>
      <c r="U30" s="2"/>
      <c r="V30" s="2"/>
      <c r="W30" s="2"/>
      <c r="X30" s="2"/>
      <c r="Y30" s="2"/>
    </row>
    <row r="31" spans="1:25" ht="15.75" customHeight="1" x14ac:dyDescent="0.3">
      <c r="A31" s="2"/>
      <c r="B31" s="2"/>
      <c r="C31" s="2"/>
      <c r="D31" s="2"/>
      <c r="E31" s="2"/>
      <c r="F31" s="2"/>
      <c r="G31" s="2"/>
      <c r="H31" s="2"/>
      <c r="I31" s="2"/>
      <c r="J31" s="2"/>
      <c r="K31" s="2"/>
      <c r="L31" s="2"/>
      <c r="M31" s="2"/>
      <c r="N31" s="2"/>
      <c r="O31" s="2"/>
      <c r="P31" s="2"/>
      <c r="Q31" s="2"/>
      <c r="R31" s="2"/>
      <c r="S31" s="2"/>
      <c r="T31" s="2"/>
      <c r="U31" s="2"/>
      <c r="V31" s="2"/>
      <c r="W31" s="2"/>
      <c r="X31" s="2"/>
      <c r="Y31" s="2"/>
    </row>
    <row r="32" spans="1:25" ht="15.75" customHeight="1" x14ac:dyDescent="0.3">
      <c r="A32" s="2"/>
      <c r="B32" s="2"/>
      <c r="C32" s="2"/>
      <c r="D32" s="2"/>
      <c r="E32" s="2"/>
      <c r="F32" s="2"/>
      <c r="G32" s="2"/>
      <c r="H32" s="2"/>
      <c r="I32" s="2"/>
      <c r="J32" s="2"/>
      <c r="K32" s="2"/>
      <c r="L32" s="2"/>
      <c r="M32" s="2"/>
      <c r="N32" s="2"/>
      <c r="O32" s="2"/>
      <c r="P32" s="2"/>
      <c r="Q32" s="2"/>
      <c r="R32" s="2"/>
      <c r="S32" s="2"/>
      <c r="T32" s="2"/>
      <c r="U32" s="2"/>
      <c r="V32" s="2"/>
      <c r="W32" s="2"/>
      <c r="X32" s="2"/>
      <c r="Y32" s="2"/>
    </row>
    <row r="33" spans="1:25" ht="15.75" customHeight="1" x14ac:dyDescent="0.3">
      <c r="A33" s="2"/>
      <c r="B33" s="2"/>
      <c r="C33" s="2"/>
      <c r="D33" s="2"/>
      <c r="E33" s="2"/>
      <c r="F33" s="2"/>
      <c r="G33" s="2"/>
      <c r="H33" s="2"/>
      <c r="I33" s="2"/>
      <c r="J33" s="2"/>
      <c r="K33" s="2"/>
      <c r="L33" s="2"/>
      <c r="M33" s="2"/>
      <c r="N33" s="2"/>
      <c r="O33" s="2"/>
      <c r="P33" s="2"/>
      <c r="Q33" s="2"/>
      <c r="R33" s="2"/>
      <c r="S33" s="2"/>
      <c r="T33" s="2"/>
      <c r="U33" s="2"/>
      <c r="V33" s="2"/>
      <c r="W33" s="2"/>
      <c r="X33" s="2"/>
      <c r="Y33" s="2"/>
    </row>
    <row r="34" spans="1:25" ht="15.75" customHeight="1" x14ac:dyDescent="0.3">
      <c r="A34" s="2"/>
      <c r="B34" s="2"/>
      <c r="C34" s="2"/>
      <c r="D34" s="2"/>
      <c r="E34" s="2"/>
      <c r="F34" s="2"/>
      <c r="G34" s="2"/>
      <c r="H34" s="2"/>
      <c r="I34" s="2"/>
      <c r="J34" s="2"/>
      <c r="K34" s="2"/>
      <c r="L34" s="2"/>
      <c r="M34" s="2"/>
      <c r="N34" s="2"/>
      <c r="O34" s="2"/>
      <c r="P34" s="2"/>
      <c r="Q34" s="2"/>
      <c r="R34" s="2"/>
      <c r="S34" s="2"/>
      <c r="T34" s="2"/>
      <c r="U34" s="2"/>
      <c r="V34" s="2"/>
      <c r="W34" s="2"/>
      <c r="X34" s="2"/>
      <c r="Y34" s="2"/>
    </row>
    <row r="35" spans="1:25" ht="15.7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row>
    <row r="36" spans="1:25" ht="15.7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row>
    <row r="37" spans="1:25" ht="15.7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row>
    <row r="38" spans="1:25" ht="15.7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row>
    <row r="39" spans="1:25" ht="15.7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row>
    <row r="40" spans="1:25" ht="15.7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row>
    <row r="41" spans="1:25" ht="15.7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row>
    <row r="42" spans="1:25" ht="15.7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row>
    <row r="43" spans="1:25" ht="15.7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row>
    <row r="44" spans="1:25" ht="15.7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row>
    <row r="45" spans="1:25" ht="15.7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row>
    <row r="46" spans="1:25" ht="15.7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row>
    <row r="47" spans="1:25" ht="15.7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row>
    <row r="48" spans="1:25" ht="15.7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row>
    <row r="49" spans="1:25" ht="15.7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row>
    <row r="50" spans="1:25" ht="15.7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row>
    <row r="51" spans="1:25" ht="15.7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row>
    <row r="52" spans="1:25" ht="15.7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row>
    <row r="53" spans="1:25" ht="15.7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row>
    <row r="54" spans="1:25" ht="15.7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row>
    <row r="55" spans="1:25" ht="15.7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row>
    <row r="56" spans="1:25" ht="15.7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row>
    <row r="57" spans="1:25" ht="15.7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row>
    <row r="58" spans="1:25" ht="15.7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row>
    <row r="59" spans="1:25" ht="15.7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row>
    <row r="60" spans="1:25" ht="15.7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row>
    <row r="61" spans="1:25" ht="15.7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row>
    <row r="62" spans="1:25" ht="15.7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row>
    <row r="63" spans="1:25" ht="15.7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row>
    <row r="64" spans="1:25" ht="15.7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row>
    <row r="65" spans="1:25" ht="15.7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row>
    <row r="66" spans="1:25" ht="15.7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row>
    <row r="67" spans="1:25" ht="15.7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row>
    <row r="68" spans="1:25" ht="15.7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row>
    <row r="69" spans="1:25" ht="15.7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row>
    <row r="70" spans="1:25" ht="15.7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row>
    <row r="71" spans="1:25" ht="15.7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row>
    <row r="72" spans="1:25" ht="15.7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row>
    <row r="73" spans="1:25" ht="15.7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row>
    <row r="74" spans="1:25" ht="15.7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row>
    <row r="75" spans="1:25" ht="15.7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row>
    <row r="76" spans="1:25" ht="15.7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row>
    <row r="77" spans="1:25" ht="15.7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row>
    <row r="78" spans="1:25" ht="15.7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row>
    <row r="79" spans="1:25" ht="15.7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row>
    <row r="80" spans="1:25" ht="15.7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row>
    <row r="81" spans="1:25" ht="15.7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row>
    <row r="82" spans="1:25" ht="15.7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row>
    <row r="83" spans="1:25" ht="15.7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row>
    <row r="84" spans="1:25" ht="15.7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row>
    <row r="85" spans="1:25" ht="15.7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row>
    <row r="86" spans="1:25" ht="15.7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row>
    <row r="87" spans="1:25" ht="15.7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row>
    <row r="88" spans="1:25" ht="15.7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row>
    <row r="89" spans="1:25" ht="15.7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row>
    <row r="90" spans="1:25" ht="15.7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row>
    <row r="91" spans="1:25" ht="15.7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row>
    <row r="92" spans="1:25" ht="15.7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row>
    <row r="93" spans="1:25" ht="15.7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row>
    <row r="94" spans="1:25" ht="15.7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row>
    <row r="95" spans="1:25" ht="15.7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row>
    <row r="96" spans="1:25" ht="15.7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row>
    <row r="97" spans="1:25" ht="15.7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row>
    <row r="98" spans="1:25" ht="15.7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row>
    <row r="99" spans="1:25" ht="15.7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row>
    <row r="100" spans="1:25" ht="15.7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spans="1:25" ht="15.7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spans="1:25" ht="15.7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spans="1:25" ht="15.7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spans="1:25" ht="15.7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spans="1:25" ht="15.7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spans="1:25" ht="15.7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spans="1:25" ht="15.7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spans="1:25" ht="15.7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spans="1:25" ht="15.7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spans="1:25" ht="15.7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spans="1:25" ht="15.7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spans="1:25" ht="15.7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spans="1:25" ht="15.7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spans="1:25" ht="15.7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spans="1:25" ht="15.7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spans="1:25" ht="15.7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spans="1:25" ht="15.7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spans="1:25" ht="15.7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spans="1:25" ht="15.7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spans="1:25" ht="15.7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spans="1:25" ht="15.7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spans="1:25" ht="15.7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spans="1:25" ht="15.7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spans="1:25" ht="15.7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spans="1:25" ht="15.7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spans="1:25" ht="15.7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spans="1:25" ht="15.7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spans="1:25" ht="15.7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spans="1:25" ht="15.7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spans="1:25" ht="15.7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spans="1:25" ht="15.7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spans="1:25" ht="15.7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spans="1:25" ht="15.7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spans="1:25" ht="15.7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spans="1:25" ht="15.7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spans="1:25" ht="15.7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spans="1:25" ht="15.7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spans="1:25" ht="15.7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spans="1:25" ht="15.7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spans="1:25" ht="15.7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spans="1:25" ht="15.7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spans="1:25" ht="15.7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spans="1:25" ht="15.7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spans="1:25" ht="15.7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spans="1:25" ht="15.7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spans="1:25" ht="15.7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spans="1:25" ht="15.7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spans="1:25" ht="15.7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spans="1:25" ht="15.7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spans="1:25" ht="15.7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spans="1:25" ht="15.7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spans="1:25" ht="15.7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spans="1:25" ht="15.7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spans="1:25" ht="15.7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spans="1:25" ht="15.7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spans="1:25" ht="15.7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spans="1:25" ht="15.7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spans="1:25" ht="15.7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spans="1:25" ht="15.7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spans="1:25" ht="15.7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spans="1:25" ht="15.7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spans="1:25" ht="15.7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spans="1:25" ht="15.7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spans="1:25" ht="15.7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spans="1:25" ht="15.7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spans="1:25" ht="15.7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spans="1:25" ht="15.7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spans="1:25" ht="15.7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spans="1:25" ht="15.7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spans="1:25" ht="15.7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spans="1:25" ht="15.7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spans="1:25" ht="15.7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spans="1:25" ht="15.7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spans="1:25" ht="15.7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spans="1:25" ht="15.7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spans="1:25" ht="15.7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spans="1:25" ht="15.7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spans="1:25" ht="15.7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spans="1:25" ht="15.7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spans="1:25" ht="15.7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spans="1:25" ht="15.7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spans="1:25" ht="15.7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spans="1:25" ht="15.7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spans="1:25" ht="15.7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spans="1:25" ht="15.7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spans="1:25" ht="15.7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spans="1:25" ht="15.7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spans="1:25" ht="15.7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spans="1:25" ht="15.7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spans="1:25" ht="15.7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spans="1:25" ht="15.7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spans="1:25" ht="15.7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spans="1:25" ht="15.7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spans="1:25" ht="15.7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spans="1:25" ht="15.7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spans="1:25" ht="15.7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spans="1:25" ht="15.7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spans="1:25" ht="15.7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spans="1:25" ht="15.7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spans="1:25" ht="15.7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spans="1:25" ht="15.7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spans="1:25" ht="15.7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spans="1:25" ht="15.7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spans="1:25" ht="15.7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spans="1:25" ht="15.7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spans="1:25" ht="15.7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spans="1:25" ht="15.7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spans="1:25" ht="15.7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spans="1:25" ht="15.7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spans="1:25" ht="15.7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spans="1:25" ht="15.7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spans="1:25" ht="15.7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spans="1:25" ht="15.7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spans="1:25" ht="15.7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spans="1:25" ht="15.7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spans="1:25" ht="15.7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spans="1:25" ht="15.7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spans="1:25" ht="15.7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spans="1:25" ht="15.7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spans="1:25" ht="15.7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spans="1:25" ht="15.7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spans="1:25" ht="15.7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spans="1:25" ht="15.7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spans="1:25" ht="15.7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spans="1:25" ht="15.7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spans="1:25" ht="15.7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spans="1:25" ht="15.7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spans="1:25" ht="15.7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spans="1:25" ht="15.7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spans="1:25" ht="15.7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spans="1:25" ht="15.7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spans="1:25" ht="15.7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spans="1:25" ht="15.7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spans="1:25" ht="15.7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spans="1:25" ht="15.7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spans="1:25" ht="15.7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spans="1:25" ht="15.7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spans="1:25" ht="15.7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spans="1:25" ht="15.7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spans="1:25" ht="15.7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spans="1:25" ht="15.7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spans="1:25" ht="15.7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spans="1:25" ht="15.7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spans="1:25" ht="15.7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spans="1:25" ht="15.7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spans="1:25" ht="15.7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spans="1:25" ht="15.7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spans="1:25" ht="15.7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spans="1:25" ht="15.7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spans="1:25" ht="15.7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spans="1:25" ht="15.7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spans="1:25" ht="15.7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spans="1:25" ht="15.7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spans="1:25" ht="15.7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spans="1:25" ht="15.7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spans="1:25" ht="15.7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spans="1:25" ht="15.7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spans="1:25" ht="15.7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spans="1:25" ht="15.7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spans="1:25" ht="15.7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spans="1:25" ht="15.7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spans="1:25" ht="15.7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spans="1:25" ht="15.7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spans="1:25" ht="15.7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spans="1:25" ht="15.7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spans="1:25" ht="15.7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spans="1:25" ht="15.7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spans="1:25" ht="15.7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spans="1:25" ht="15.7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spans="1:25" ht="15.7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spans="1:25" ht="15.7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spans="1:25" ht="15.7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spans="1:25" ht="15.7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spans="1:25" ht="15.7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spans="1:25" ht="15.7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spans="1:25" ht="15.7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spans="1:25" ht="15.7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spans="1:25" ht="15.7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spans="1:25" ht="15.7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spans="1:25" ht="15.7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spans="1:25" ht="15.7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spans="1:25" ht="15.7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spans="1:25" ht="15.7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spans="1:25" ht="15.7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spans="1:25" ht="15.7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spans="1:25" ht="15.7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spans="1:25" ht="15.7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spans="1:25" ht="15.7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spans="1:25" ht="15.7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spans="1:25" ht="15.7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spans="1:25" ht="15.7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spans="1:25" ht="15.7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spans="1:25" ht="15.7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spans="1:25" ht="15.7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spans="1:25" ht="15.7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spans="1:25" ht="15.7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spans="1:25" ht="15.7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spans="1:25" ht="15.7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spans="1:25" ht="15.7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spans="1:25" ht="15.7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spans="1:25" ht="15.7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spans="1:25" ht="15.7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spans="1:25" ht="15.7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spans="1:25" ht="15.7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spans="1:25" ht="15.7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spans="1:25" ht="15.7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spans="1:25" ht="15.7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spans="1:25" ht="15.7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spans="1:25" ht="15.7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spans="1:25" ht="15.7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spans="1:25" ht="15.7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spans="1:25" ht="15.7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spans="1:25" ht="15.7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spans="1:25" ht="15.7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spans="1:25" ht="15.7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spans="1:25" ht="15.7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spans="1:25" ht="15.7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spans="1:25" ht="15.7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spans="1:25" ht="15.7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spans="1:25" ht="15.7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spans="1:25" ht="15.7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spans="1:25" ht="15.7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spans="1:25" ht="15.7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spans="1:25" ht="15.7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spans="1:25" ht="15.7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spans="1:25" ht="15.7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spans="1:25" ht="15.7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spans="1:25" ht="15.7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spans="1:25" ht="15.7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spans="1:25" ht="15.7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spans="1:25" ht="15.7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spans="1:25" ht="15.7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spans="1:25" ht="15.7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spans="1:25" ht="15.7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spans="1:25" ht="15.7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spans="1:25" ht="15.7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spans="1:25" ht="15.7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spans="1:25" ht="15.7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spans="1:25" ht="15.7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spans="1:25" ht="15.7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spans="1:25" ht="15.7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spans="1:25" ht="15.7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spans="1:25" ht="15.7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spans="1:25" ht="15.7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spans="1:25" ht="15.7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spans="1:25" ht="15.7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spans="1:25" ht="15.7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spans="1:25" ht="15.7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spans="1:25" ht="15.7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spans="1:25" ht="15.7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spans="1:25" ht="15.7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spans="1:25" ht="15.7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spans="1:25" ht="15.7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spans="1:25" ht="15.7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spans="1:25" ht="15.7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spans="1:25" ht="15.7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spans="1:25" ht="15.7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spans="1:25" ht="15.7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spans="1:25" ht="15.7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spans="1:25" ht="15.7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spans="1:25" ht="15.7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spans="1:25" ht="15.7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spans="1:25" ht="15.7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spans="1:25" ht="15.7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spans="1:25" ht="15.7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spans="1:25" ht="15.7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spans="1:25" ht="15.7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spans="1:25" ht="15.7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spans="1:25" ht="15.7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spans="1:25" ht="15.7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spans="1:25" ht="15.7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spans="1:25" ht="15.7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spans="1:25" ht="15.7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spans="1:25" ht="15.7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spans="1:25" ht="15.7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spans="1:25" ht="15.7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spans="1:25" ht="15.7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spans="1:25" ht="15.7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spans="1:25" ht="15.7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spans="1:25" ht="15.7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spans="1:25" ht="15.7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spans="1:25" ht="15.7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spans="1:25" ht="15.7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spans="1:25" ht="15.7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spans="1:25" ht="15.7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spans="1:25" ht="15.7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spans="1:25" ht="15.7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spans="1:25" ht="15.7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spans="1:25" ht="15.7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spans="1:25" ht="15.7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spans="1:25" ht="15.7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spans="1:25" ht="15.7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spans="1:25" ht="15.7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spans="1:25" ht="15.7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spans="1:25" ht="15.7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spans="1:25" ht="15.7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spans="1:25" ht="15.7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spans="1:25" ht="15.7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spans="1:25" ht="15.7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spans="1:25" ht="15.7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spans="1:25" ht="15.7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spans="1:25" ht="15.7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spans="1:25" ht="15.7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spans="1:25" ht="15.7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spans="1:25" ht="15.7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spans="1:25" ht="15.7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spans="1:25" ht="15.7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spans="1:25" ht="15.7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spans="1:25" ht="15.7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spans="1:25" ht="15.7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spans="1:25" ht="15.7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spans="1:25" ht="15.7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spans="1:25" ht="15.7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spans="1:25" ht="15.7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spans="1:25" ht="15.7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spans="1:25" ht="15.7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spans="1:25" ht="15.7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spans="1:25" ht="15.7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spans="1:25" ht="15.7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spans="1:25" ht="15.7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spans="1:25" ht="15.7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spans="1:25" ht="15.7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spans="1:25" ht="15.7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spans="1:25" ht="15.7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spans="1:25" ht="15.7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spans="1:25" ht="15.7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spans="1:25" ht="15.7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spans="1:25" ht="15.7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spans="1:25" ht="15.7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spans="1:25" ht="15.7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spans="1:25" ht="15.7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spans="1:25" ht="15.7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spans="1:25" ht="15.7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spans="1:25" ht="15.7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spans="1:25" ht="15.7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spans="1:25" ht="15.7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spans="1:25" ht="15.7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spans="1:25" ht="15.7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spans="1:25" ht="15.7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spans="1:25" ht="15.7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spans="1:25" ht="15.7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spans="1:25" ht="15.7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spans="1:25" ht="15.7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spans="1:25" ht="15.7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spans="1:25" ht="15.7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spans="1:25" ht="15.7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spans="1:25" ht="15.7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spans="1:25" ht="15.7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spans="1:25" ht="15.7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spans="1:25" ht="15.7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spans="1:25" ht="15.7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spans="1:25" ht="15.7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spans="1:25" ht="15.7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spans="1:25" ht="15.7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spans="1:25" ht="15.7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spans="1:25" ht="15.7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spans="1:25" ht="15.7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spans="1:25" ht="15.7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spans="1:25" ht="15.7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spans="1:25" ht="15.7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spans="1:25" ht="15.7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spans="1:25" ht="15.7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spans="1:25" ht="15.7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spans="1:25" ht="15.7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spans="1:25" ht="15.7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spans="1:25" ht="15.7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spans="1:25" ht="15.7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spans="1:25" ht="15.7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spans="1:25" ht="15.7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spans="1:25" ht="15.7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spans="1:25" ht="15.7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spans="1:25" ht="15.7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spans="1:25" ht="15.7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spans="1:25" ht="15.7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spans="1:25" ht="15.7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spans="1:25" ht="15.7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spans="1:25" ht="15.7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spans="1:25" ht="15.7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spans="1:25" ht="15.7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spans="1:25" ht="15.7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spans="1:25" ht="15.7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spans="1:25" ht="15.7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spans="1:25" ht="15.7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spans="1:25" ht="15.7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spans="1:25" ht="15.7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spans="1:25" ht="15.7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spans="1:25" ht="15.7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spans="1:25" ht="15.7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spans="1:25" ht="15.7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spans="1:25" ht="15.7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spans="1:25" ht="15.7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spans="1:25" ht="15.7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spans="1:25" ht="15.7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spans="1:25" ht="15.7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spans="1:25" ht="15.7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spans="1:25" ht="15.7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spans="1:25" ht="15.7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spans="1:25" ht="15.7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spans="1:25" ht="15.7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spans="1:25" ht="15.7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spans="1:25" ht="15.7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spans="1:25" ht="15.7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spans="1:25" ht="15.7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spans="1:25" ht="15.7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spans="1:25" ht="15.7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spans="1:25" ht="15.7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spans="1:25" ht="15.7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spans="1:25" ht="15.7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spans="1:25" ht="15.7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spans="1:25" ht="15.7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spans="1:25" ht="15.7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spans="1:25" ht="15.7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spans="1:25" ht="15.7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spans="1:25" ht="15.7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spans="1:25" ht="15.7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spans="1:25" ht="15.7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spans="1:25" ht="15.7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spans="1:25" ht="15.7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spans="1:25" ht="15.7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spans="1:25" ht="15.7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spans="1:25" ht="15.7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spans="1:25" ht="15.7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spans="1:25" ht="15.7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spans="1:25" ht="15.7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spans="1:25" ht="15.7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spans="1:25" ht="15.7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spans="1:25" ht="15.7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spans="1:25" ht="15.7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spans="1:25" ht="15.7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spans="1:25" ht="15.7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spans="1:25" ht="15.7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spans="1:25" ht="15.7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spans="1:25" ht="15.7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spans="1:25" ht="15.7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spans="1:25" ht="15.7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spans="1:25" ht="15.7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spans="1:25" ht="15.7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spans="1:25" ht="15.7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spans="1:25" ht="15.7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spans="1:25" ht="15.7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spans="1:25" ht="15.7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spans="1:25" ht="15.7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spans="1:25" ht="15.7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spans="1:25" ht="15.7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spans="1:25" ht="15.7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spans="1:25" ht="15.7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spans="1:25" ht="15.7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spans="1:25" ht="15.7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spans="1:25" ht="15.7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spans="1:25" ht="15.7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spans="1:25" ht="15.7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spans="1:25" ht="15.7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spans="1:25" ht="15.7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spans="1:25" ht="15.7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spans="1:25" ht="15.7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spans="1:25" ht="15.7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spans="1:25" ht="15.7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spans="1:25" ht="15.7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spans="1:25" ht="15.7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spans="1:25" ht="15.7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spans="1:25" ht="15.7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spans="1:25" ht="15.7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spans="1:25" ht="15.7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spans="1:25" ht="15.7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spans="1:25" ht="15.7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spans="1:25" ht="15.7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spans="1:25" ht="15.7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spans="1:25" ht="15.7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spans="1:25" ht="15.7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spans="1:25" ht="15.7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spans="1:25" ht="15.7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spans="1:25" ht="15.7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spans="1:25" ht="15.7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spans="1:25" ht="15.7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spans="1:25" ht="15.7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spans="1:25" ht="15.7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spans="1:25" ht="15.7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spans="1:25" ht="15.7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spans="1:25" ht="15.7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spans="1:25" ht="15.7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spans="1:25" ht="15.7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spans="1:25" ht="15.7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spans="1:25" ht="15.7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spans="1:25" ht="15.7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spans="1:25" ht="15.7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spans="1:25" ht="15.7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spans="1:25" ht="15.7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spans="1:25" ht="15.7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spans="1:25" ht="15.7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spans="1:25" ht="15.7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spans="1:25" ht="15.7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spans="1:25" ht="15.7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spans="1:25" ht="15.7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spans="1:25" ht="15.7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spans="1:25" ht="15.7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spans="1:25" ht="15.7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spans="1:25" ht="15.7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spans="1:25" ht="15.7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spans="1:25" ht="15.7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spans="1:25" ht="15.7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spans="1:25" ht="15.7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spans="1:25" ht="15.7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spans="1:25" ht="15.7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spans="1:25" ht="15.7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spans="1:25" ht="15.7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spans="1:25" ht="15.7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spans="1:25" ht="15.7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spans="1:25" ht="15.7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spans="1:25" ht="15.7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spans="1:25" ht="15.7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spans="1:25" ht="15.7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spans="1:25" ht="15.7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spans="1:25" ht="15.7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spans="1:25" ht="15.7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spans="1:25" ht="15.7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spans="1:25" ht="15.7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spans="1:25" ht="15.7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spans="1:25" ht="15.7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spans="1:25" ht="15.7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spans="1:25" ht="15.7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spans="1:25" ht="15.7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spans="1:25" ht="15.7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spans="1:25" ht="15.7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spans="1:25" ht="15.7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spans="1:25" ht="15.7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spans="1:25" ht="15.7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spans="1:25" ht="15.7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spans="1:25" ht="15.7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spans="1:25" ht="15.7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spans="1:25" ht="15.7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spans="1:25" ht="15.7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spans="1:25" ht="15.7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spans="1:25" ht="15.7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spans="1:25" ht="15.7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spans="1:25" ht="15.7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spans="1:25" ht="15.7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spans="1:25" ht="15.7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spans="1:25" ht="15.7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spans="1:25" ht="15.7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spans="1:25" ht="15.7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spans="1:25" ht="15.7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spans="1:25" ht="15.7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spans="1:25" ht="15.7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spans="1:25" ht="15.7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spans="1:25" ht="15.7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spans="1:25" ht="15.7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spans="1:25" ht="15.7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spans="1:25" ht="15.7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spans="1:25" ht="15.7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spans="1:25" ht="15.7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spans="1:25" ht="15.7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spans="1:25" ht="15.7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spans="1:25" ht="15.7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spans="1:25" ht="15.7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spans="1:25" ht="15.7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spans="1:25" ht="15.7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spans="1:25" ht="15.7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spans="1:25" ht="15.7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spans="1:25" ht="15.7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spans="1:25" ht="15.7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spans="1:25" ht="15.7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spans="1:25" ht="15.7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spans="1:25" ht="15.7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spans="1:25" ht="15.7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spans="1:25" ht="15.7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spans="1:25" ht="15.7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spans="1:25" ht="15.7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spans="1:25" ht="15.7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spans="1:25" ht="15.7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spans="1:25" ht="15.7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spans="1:25" ht="15.7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spans="1:25" ht="15.7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spans="1:25" ht="15.7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spans="1:25" ht="15.7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spans="1:25" ht="15.7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spans="1:25" ht="15.7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spans="1:25" ht="15.7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spans="1:25" ht="15.7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spans="1:25" ht="15.7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spans="1:25" ht="15.7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spans="1:25" ht="15.7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spans="1:25" ht="15.7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spans="1:25" ht="15.7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spans="1:25" ht="15.7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spans="1:25" ht="15.7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spans="1:25" ht="15.7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spans="1:25" ht="15.7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spans="1:25" ht="15.7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spans="1:25" ht="15.7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spans="1:25" ht="15.7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spans="1:25" ht="15.7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spans="1:25" ht="15.7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spans="1:25" ht="15.7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spans="1:25" ht="15.7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spans="1:25" ht="15.7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spans="1:25" ht="15.7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spans="1:25" ht="15.7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spans="1:25" ht="15.7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spans="1:25" ht="15.7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spans="1:25" ht="15.7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spans="1:25" ht="15.7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spans="1:25" ht="15.7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spans="1:25" ht="15.7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spans="1:25" ht="15.7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spans="1:25" ht="15.7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spans="1:25" ht="15.7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spans="1:25" ht="15.7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spans="1:25" ht="15.7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spans="1:25" ht="15.7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spans="1:25" ht="15.7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spans="1:25" ht="15.7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spans="1:25" ht="15.7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spans="1:25" ht="15.7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spans="1:25" ht="15.7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spans="1:25" ht="15.7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spans="1:25" ht="15.7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spans="1:25" ht="15.7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spans="1:25" ht="15.7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spans="1:25" ht="15.7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spans="1:25" ht="15.7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spans="1:25" ht="15.7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spans="1:25" ht="15.7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spans="1:25" ht="15.7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spans="1:25" ht="15.7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spans="1:25" ht="15.7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spans="1:25" ht="15.7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spans="1:25" ht="15.7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spans="1:25" ht="15.7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spans="1:25" ht="15.7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spans="1:25" ht="15.7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spans="1:25" ht="15.7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spans="1:25" ht="15.7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spans="1:25" ht="15.7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spans="1:25" ht="15.7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spans="1:25" ht="15.7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spans="1:25" ht="15.7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spans="1:25" ht="15.7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spans="1:25" ht="15.7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spans="1:25" ht="15.7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spans="1:25" ht="15.7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spans="1:25" ht="15.7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spans="1:25" ht="15.7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spans="1:25" ht="15.7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spans="1:25" ht="15.7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spans="1:25" ht="15.7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spans="1:25" ht="15.7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spans="1:25" ht="15.7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spans="1:25" ht="15.7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spans="1:25" ht="15.7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spans="1:25" ht="15.7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spans="1:25" ht="15.7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spans="1:25" ht="15.7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spans="1:25" ht="15.7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spans="1:25" ht="15.7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spans="1:25" ht="15.7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spans="1:25" ht="15.7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spans="1:25" ht="15.7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spans="1:25" ht="15.7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spans="1:25" ht="15.7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spans="1:25" ht="15.7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spans="1:25" ht="15.7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spans="1:25" ht="15.7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spans="1:25" ht="15.7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spans="1:25" ht="15.7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spans="1:25" ht="15.7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spans="1:25" ht="15.7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spans="1:25" ht="15.7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spans="1:25" ht="15.7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spans="1:25" ht="15.7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spans="1:25" ht="15.7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spans="1:25" ht="15.7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spans="1:25" ht="15.7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spans="1:25" ht="15.7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spans="1:25" ht="15.7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spans="1:25" ht="15.7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spans="1:25" ht="15.7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spans="1:25" ht="15.7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spans="1:25" ht="15.7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spans="1:25" ht="15.7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spans="1:25" ht="15.7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spans="1:25" ht="15.7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spans="1:25" ht="15.7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spans="1:25" ht="15.7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spans="1:25" ht="15.7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spans="1:25" ht="15.7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spans="1:25" ht="15.7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spans="1:25" ht="15.7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spans="1:25" ht="15.7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spans="1:25" ht="15.7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spans="1:25" ht="15.7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spans="1:25" ht="15.7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spans="1:25" ht="15.7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spans="1:25" ht="15.7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spans="1:25" ht="15.7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spans="1:25" ht="15.7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spans="1:25" ht="15.7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spans="1:25" ht="15.7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spans="1:25" ht="15.7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spans="1:25" ht="15.7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spans="1:25" ht="15.7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spans="1:25" ht="15.7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spans="1:25" ht="15.7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spans="1:25" ht="15.7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spans="1:25" ht="15.7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spans="1:25" ht="15.7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spans="1:25" ht="15.7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spans="1:25" ht="15.7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spans="1:25" ht="15.7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spans="1:25" ht="15.7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spans="1:25" ht="15.7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spans="1:25" ht="15.7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spans="1:25" ht="15.7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spans="1:25" ht="15.7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spans="1:25" ht="15.7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spans="1:25" ht="15.7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spans="1:25" ht="15.7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spans="1:25" ht="15.7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spans="1:25" ht="15.7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spans="1:25" ht="15.7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spans="1:25" ht="15.7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spans="1:25" ht="15.7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spans="1:25" ht="15.7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spans="1:25" ht="15.7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spans="1:25" ht="15.7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spans="1:25" ht="15.7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spans="1:25" ht="15.7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spans="1:25" ht="15.7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spans="1:25" ht="15.7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spans="1:25" ht="15.7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spans="1:25" ht="15.7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spans="1:25" ht="15.7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spans="1:25" ht="15.7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spans="1:25" ht="15.7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spans="1:25" ht="15.7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spans="1:25" ht="15.7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spans="1:25" ht="15.7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spans="1:25" ht="15.7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spans="1:25" ht="15.7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spans="1:25" ht="15.7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spans="1:25" ht="15.7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spans="1:25" ht="15.7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spans="1:25" ht="15.7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spans="1:25" ht="15.7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spans="1:25" ht="15.7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spans="1:25" ht="15.7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spans="1:25" ht="15.7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spans="1:25" ht="15.7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spans="1:25" ht="15.7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spans="1:25" ht="15.7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spans="1:25" ht="15.7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spans="1:25" ht="15.7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spans="1:25" ht="15.7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spans="1:25" ht="15.7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spans="1:25" ht="15.7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spans="1:25" ht="15.7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spans="1:25" ht="15.7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spans="1:25" ht="15.7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spans="1:25" ht="15.7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spans="1:25" ht="15.7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spans="1:25" ht="15.7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spans="1:25" ht="15.7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spans="1:25" ht="15.7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spans="1:25" ht="15.7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spans="1:25" ht="15.7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spans="1:25" ht="15.7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spans="1:25" ht="15.7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spans="1:25" ht="15.7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spans="1:25" ht="15.7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spans="1:25" ht="15.7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spans="1:25" ht="15.7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spans="1:25" ht="15.7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spans="1:25" ht="15.7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spans="1:25" ht="15.7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spans="1:25" ht="15.7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spans="1:25" ht="15.7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spans="1:25" ht="15.7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spans="1:25" ht="15.7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spans="1:25" ht="15.7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spans="1:25" ht="15.7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spans="1:25" ht="15.7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spans="1:25" ht="15.7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spans="1:25" ht="15.7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spans="1:25" ht="15.7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spans="1:25" ht="15.7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spans="1:25" ht="15.7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spans="1:25" ht="15.7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spans="1:25" ht="15.7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spans="1:25" ht="15.7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spans="1:25" ht="15.7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spans="1:25" ht="15.7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spans="1:25" ht="15.7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spans="1:25" ht="15.7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spans="1:25" ht="15.7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spans="1:25" ht="15.7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spans="1:25" ht="15.7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spans="1:25" ht="15.7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spans="1:25" ht="15.7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spans="1:25" ht="15.7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spans="1:25" ht="15.7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spans="1:25" ht="15.7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spans="1:25" ht="15.7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spans="1:25" ht="15.7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spans="1:25" ht="15.7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spans="1:25" ht="15.7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spans="1:25" ht="15.7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spans="1:25" ht="15.7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spans="1:25" ht="15.7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spans="1:25" ht="15.7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spans="1:25" ht="15.7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spans="1:25" ht="15.7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spans="1:25" ht="15.7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spans="1:25" ht="15.7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spans="1:25" ht="15.7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spans="1:25" ht="15.7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spans="1:25" ht="15.7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spans="1:25" ht="15.7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spans="1:25" ht="15.7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spans="1:25" ht="15.7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spans="1:25" ht="15.7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spans="1:25" ht="15.7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spans="1:25" ht="15.7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spans="1:25" ht="15.7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spans="1:25" ht="15.7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spans="1:25" ht="15.7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spans="1:25" ht="15.75" customHeight="1"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spans="1:25" ht="15.75" customHeight="1"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spans="1:25" ht="15.75" customHeight="1"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spans="1:25" ht="15.75" customHeight="1"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spans="1:25" ht="15.75" customHeight="1"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spans="1:25" ht="15.75" customHeight="1"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spans="1:25" ht="15.75" customHeight="1"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spans="1:25" ht="15.75" customHeight="1"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spans="1:25" ht="15.75" customHeight="1"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spans="1:25" ht="15.75" customHeight="1"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spans="1:25" ht="15.75" customHeight="1"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spans="1:25" ht="15.75" customHeight="1"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spans="1:25" ht="15.75" customHeight="1"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spans="1:25" ht="15.75" customHeight="1"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spans="1:25" ht="15.75" customHeight="1"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spans="1:25" ht="15.75" customHeight="1"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spans="1:25" ht="15.75" customHeight="1"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spans="1:25" ht="15.75" customHeight="1"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spans="1:25" ht="15.75" customHeight="1"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spans="1:25" ht="15.75" customHeight="1"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spans="1:25" ht="15.75" customHeight="1"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spans="1:25" ht="15.75" customHeight="1"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spans="1:25" ht="15.75" customHeight="1"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spans="1:25" ht="15.75" customHeight="1"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spans="1:25" ht="15.75" customHeight="1"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spans="1:25" ht="15.75" customHeight="1"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spans="1:25" ht="15.75" customHeight="1"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spans="1:25" ht="15.75" customHeight="1"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spans="1:25" ht="15.75" customHeight="1"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spans="1:25" ht="15.75" customHeight="1"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spans="1:25" ht="15.75" customHeight="1"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spans="1:25" ht="15.75" customHeight="1"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spans="1:25" ht="15.75" customHeight="1"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spans="1:25" ht="15.75" customHeight="1"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spans="1:25" ht="15.75" customHeight="1"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spans="1:25" ht="15.75" customHeight="1"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spans="1:25" ht="15.75" customHeight="1"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spans="1:25" ht="15.75" customHeight="1"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spans="1:25" ht="15.75" customHeight="1"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spans="1:25" ht="15.75" customHeight="1"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spans="1:25" ht="15.75" customHeight="1"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spans="1:25" ht="15.75" customHeight="1"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spans="1:25" ht="15.75" customHeight="1"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spans="1:25" ht="15.75" customHeight="1"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spans="1:25" ht="15.75" customHeight="1"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spans="1:25" ht="15.75" customHeight="1"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spans="1:25" ht="15.75" customHeight="1"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spans="1:25" ht="15.75" customHeight="1"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spans="1:25" ht="15.75" customHeight="1"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spans="1:25" ht="15.75" customHeight="1"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spans="1:25" ht="15.75" customHeight="1"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spans="1:25" ht="15.75" customHeight="1"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spans="1:25" ht="15.75" customHeight="1"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spans="1:25" ht="15.75" customHeight="1"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spans="1:25" ht="15.75" customHeight="1"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spans="1:25" ht="15.75" customHeight="1"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spans="1:25" ht="15.75" customHeight="1"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spans="1:25" ht="15.75" customHeight="1"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spans="1:25" ht="15.75" customHeight="1"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spans="1:25" ht="15.75" customHeight="1"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spans="1:25" ht="15.75" customHeight="1"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spans="1:25" ht="15.75" customHeight="1"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spans="1:25" ht="15.75" customHeight="1"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spans="1:25" ht="15.75" customHeight="1"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spans="1:25" ht="15.75" customHeight="1"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spans="1:25" ht="15.75" customHeight="1"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spans="1:25" ht="15.75" customHeight="1"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spans="1:25" ht="15.75" customHeight="1"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spans="1:25" ht="15.75" customHeight="1"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spans="1:25" ht="15.75" customHeight="1"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spans="1:25" ht="15.75" customHeight="1"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spans="1:25" ht="15.75" customHeight="1"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spans="1:25" ht="15.75" customHeight="1"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spans="1:25" ht="15.75" customHeight="1" x14ac:dyDescent="0.3">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spans="1:25" ht="15.75" customHeight="1" x14ac:dyDescent="0.3">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spans="1:25" ht="15.75" customHeight="1" x14ac:dyDescent="0.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sheetData>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I127" zoomScale="79" workbookViewId="0">
      <selection activeCell="P142" sqref="P142"/>
    </sheetView>
  </sheetViews>
  <sheetFormatPr defaultColWidth="14.44140625" defaultRowHeight="15" customHeight="1" x14ac:dyDescent="0.3"/>
  <cols>
    <col min="1" max="1" width="15.44140625" customWidth="1"/>
    <col min="2" max="2" width="10.88671875" customWidth="1"/>
    <col min="3" max="3" width="13.77734375" customWidth="1"/>
    <col min="4" max="4" width="17" customWidth="1"/>
    <col min="5" max="5" width="12.33203125" customWidth="1"/>
    <col min="6" max="6" width="15.5546875" customWidth="1"/>
    <col min="7" max="7" width="10.44140625" customWidth="1"/>
    <col min="8" max="8" width="10.21875" customWidth="1"/>
    <col min="9" max="9" width="11.5546875" customWidth="1"/>
    <col min="10" max="10" width="18.21875" customWidth="1"/>
    <col min="11" max="11" width="8.6640625" customWidth="1"/>
    <col min="12" max="12" width="19.44140625" customWidth="1"/>
    <col min="13" max="13" width="16.44140625" customWidth="1"/>
    <col min="14" max="14" width="15" customWidth="1"/>
    <col min="15" max="15" width="21.88671875" customWidth="1"/>
    <col min="16" max="16" width="18.33203125" customWidth="1"/>
    <col min="17" max="17" width="21.44140625" customWidth="1"/>
    <col min="18" max="19" width="8.6640625" customWidth="1"/>
    <col min="20" max="20" width="19.6640625" customWidth="1"/>
    <col min="21" max="21" width="24.44140625" customWidth="1"/>
    <col min="22" max="22" width="21.88671875" customWidth="1"/>
    <col min="23" max="26" width="8.6640625" customWidth="1"/>
  </cols>
  <sheetData>
    <row r="1" spans="1:26" ht="14.4" x14ac:dyDescent="0.3">
      <c r="A1" s="3" t="s">
        <v>2</v>
      </c>
      <c r="B1" s="3" t="s">
        <v>3</v>
      </c>
      <c r="C1" s="3" t="s">
        <v>4</v>
      </c>
      <c r="D1" s="3" t="s">
        <v>5</v>
      </c>
      <c r="E1" s="3" t="s">
        <v>6</v>
      </c>
      <c r="F1" s="3" t="s">
        <v>7</v>
      </c>
      <c r="G1" s="3" t="s">
        <v>8</v>
      </c>
      <c r="H1" s="3" t="s">
        <v>9</v>
      </c>
      <c r="I1" s="3" t="s">
        <v>10</v>
      </c>
      <c r="J1" s="3" t="s">
        <v>11</v>
      </c>
      <c r="K1" s="3" t="s">
        <v>12</v>
      </c>
      <c r="L1" s="3" t="s">
        <v>13</v>
      </c>
      <c r="M1" s="3" t="s">
        <v>14</v>
      </c>
      <c r="N1" s="3" t="s">
        <v>15</v>
      </c>
      <c r="O1" s="3" t="s">
        <v>401</v>
      </c>
      <c r="P1" s="3" t="s">
        <v>402</v>
      </c>
      <c r="Q1" s="3" t="s">
        <v>403</v>
      </c>
      <c r="R1" s="3" t="s">
        <v>404</v>
      </c>
      <c r="S1" s="3" t="s">
        <v>405</v>
      </c>
      <c r="T1" s="3" t="s">
        <v>406</v>
      </c>
      <c r="U1" s="3" t="s">
        <v>408</v>
      </c>
      <c r="V1" s="3" t="s">
        <v>407</v>
      </c>
      <c r="W1" s="3" t="s">
        <v>420</v>
      </c>
      <c r="X1" s="3"/>
      <c r="Y1" s="3"/>
      <c r="Z1" s="3"/>
    </row>
    <row r="2" spans="1:26" ht="14.4" x14ac:dyDescent="0.3">
      <c r="A2" s="4" t="s">
        <v>16</v>
      </c>
      <c r="B2" s="5">
        <v>45393</v>
      </c>
      <c r="C2" s="4" t="s">
        <v>17</v>
      </c>
      <c r="D2" s="4" t="s">
        <v>18</v>
      </c>
      <c r="E2" s="4" t="s">
        <v>19</v>
      </c>
      <c r="F2" s="4" t="s">
        <v>20</v>
      </c>
      <c r="G2" s="4" t="s">
        <v>21</v>
      </c>
      <c r="H2" s="4">
        <v>3</v>
      </c>
      <c r="I2" s="4">
        <v>249.99</v>
      </c>
      <c r="J2" s="4" t="s">
        <v>22</v>
      </c>
      <c r="K2" s="4" t="s">
        <v>23</v>
      </c>
      <c r="L2" s="4" t="s">
        <v>24</v>
      </c>
      <c r="M2" s="5">
        <v>44425</v>
      </c>
      <c r="N2" s="4">
        <v>749.97</v>
      </c>
      <c r="O2" s="7">
        <f t="shared" ref="O2:O65" ca="1" si="0">NOW()</f>
        <v>46084.816637962962</v>
      </c>
      <c r="P2" s="8">
        <f t="shared" ref="P2:P65" ca="1" si="1">IF(A2&lt;&gt;"", IF(O2="", NOW(), O2), "")</f>
        <v>46084.816637962962</v>
      </c>
      <c r="Q2">
        <f t="shared" ref="Q2:Q65" si="2">SUM(N2:N250)</f>
        <v>228922.50000000032</v>
      </c>
      <c r="R2">
        <f t="shared" ref="R2:R65" si="3">H2*1.2</f>
        <v>3.5999999999999996</v>
      </c>
      <c r="S2">
        <f t="shared" ref="S2:S65" si="4">(H2*1.2)*I2</f>
        <v>899.96399999999994</v>
      </c>
      <c r="T2" cm="1">
        <f t="array" ref="T2">SUMPRODUCT(H2:H250*1.2, I2:I250)</f>
        <v>274707</v>
      </c>
      <c r="U2" cm="1">
        <f t="array" ref="U2">SUMPRODUCT(H2:H250, I2:I250*0.9)</f>
        <v>206030.24999999985</v>
      </c>
      <c r="V2" cm="1">
        <f t="array" ref="V2">SUMPRODUCT((H2:H250*1.15)*(I2:I250*0.95))</f>
        <v>250097.83125000037</v>
      </c>
      <c r="W2">
        <f>MONTH(Table1[[#This Row],[Date]])</f>
        <v>4</v>
      </c>
    </row>
    <row r="3" spans="1:26" ht="14.4" x14ac:dyDescent="0.3">
      <c r="A3" s="4" t="s">
        <v>25</v>
      </c>
      <c r="B3" s="5">
        <v>45396</v>
      </c>
      <c r="C3" s="4" t="s">
        <v>26</v>
      </c>
      <c r="D3" s="4" t="s">
        <v>27</v>
      </c>
      <c r="E3" s="4" t="s">
        <v>19</v>
      </c>
      <c r="F3" s="4" t="s">
        <v>20</v>
      </c>
      <c r="G3" s="4" t="s">
        <v>21</v>
      </c>
      <c r="H3" s="4">
        <v>3</v>
      </c>
      <c r="I3" s="4">
        <v>249.99</v>
      </c>
      <c r="J3" s="4" t="s">
        <v>28</v>
      </c>
      <c r="K3" s="4" t="s">
        <v>23</v>
      </c>
      <c r="L3" s="4" t="s">
        <v>29</v>
      </c>
      <c r="M3" s="5">
        <v>44575</v>
      </c>
      <c r="N3" s="4">
        <v>749.97</v>
      </c>
      <c r="O3" s="7">
        <f t="shared" ca="1" si="0"/>
        <v>46084.816637962962</v>
      </c>
      <c r="P3" s="8">
        <f t="shared" ca="1" si="1"/>
        <v>46084.816637962962</v>
      </c>
      <c r="Q3">
        <f t="shared" si="2"/>
        <v>228442.50000000029</v>
      </c>
      <c r="R3">
        <f t="shared" si="3"/>
        <v>3.5999999999999996</v>
      </c>
      <c r="S3">
        <f t="shared" si="4"/>
        <v>899.96399999999994</v>
      </c>
      <c r="T3" cm="1">
        <f t="array" ref="T3">SUMPRODUCT(H3:H251*1.2, I3:I251)</f>
        <v>274131</v>
      </c>
      <c r="U3" cm="1">
        <f t="array" ref="U3">SUMPRODUCT(H3:H251, I3:I251*0.9)</f>
        <v>205598.24999999985</v>
      </c>
      <c r="V3" cm="1">
        <f t="array" ref="V3">SUMPRODUCT((H3:H251*1.15)*(I3:I251*0.95))</f>
        <v>249573.43125000037</v>
      </c>
      <c r="W3">
        <f>MONTH(Table1[[#This Row],[Date]])</f>
        <v>4</v>
      </c>
    </row>
    <row r="4" spans="1:26" ht="14.4" x14ac:dyDescent="0.3">
      <c r="A4" s="4" t="s">
        <v>30</v>
      </c>
      <c r="B4" s="5">
        <v>45399</v>
      </c>
      <c r="C4" s="4" t="s">
        <v>31</v>
      </c>
      <c r="D4" s="4" t="s">
        <v>32</v>
      </c>
      <c r="E4" s="4" t="s">
        <v>33</v>
      </c>
      <c r="F4" s="4" t="s">
        <v>34</v>
      </c>
      <c r="G4" s="4" t="s">
        <v>35</v>
      </c>
      <c r="H4" s="4">
        <v>3</v>
      </c>
      <c r="I4" s="4">
        <v>59.99</v>
      </c>
      <c r="J4" s="4" t="s">
        <v>36</v>
      </c>
      <c r="K4" s="4" t="s">
        <v>37</v>
      </c>
      <c r="L4" s="4" t="s">
        <v>38</v>
      </c>
      <c r="M4" s="5">
        <v>45262</v>
      </c>
      <c r="N4" s="4">
        <v>179.97</v>
      </c>
      <c r="O4" s="7">
        <f t="shared" ca="1" si="0"/>
        <v>46084.816637962962</v>
      </c>
      <c r="P4" s="8">
        <f t="shared" ca="1" si="1"/>
        <v>46084.816637962962</v>
      </c>
      <c r="Q4">
        <f t="shared" si="2"/>
        <v>227692.53000000029</v>
      </c>
      <c r="R4">
        <f t="shared" si="3"/>
        <v>3.5999999999999996</v>
      </c>
      <c r="S4">
        <f t="shared" si="4"/>
        <v>215.964</v>
      </c>
      <c r="T4" cm="1">
        <f t="array" ref="T4">SUMPRODUCT(H4:H252*1.2, I4:I252)</f>
        <v>273231.03600000002</v>
      </c>
      <c r="U4" cm="1">
        <f t="array" ref="U4">SUMPRODUCT(H4:H252, I4:I252*0.9)</f>
        <v>204923.27699999986</v>
      </c>
      <c r="V4" cm="1">
        <f t="array" ref="V4">SUMPRODUCT((H4:H252*1.15)*(I4:I252*0.95))</f>
        <v>248754.08902500034</v>
      </c>
      <c r="W4">
        <f>MONTH(Table1[[#This Row],[Date]])</f>
        <v>4</v>
      </c>
    </row>
    <row r="5" spans="1:26" ht="14.4" x14ac:dyDescent="0.3">
      <c r="A5" s="4" t="s">
        <v>39</v>
      </c>
      <c r="B5" s="5">
        <v>45400</v>
      </c>
      <c r="C5" s="4" t="s">
        <v>40</v>
      </c>
      <c r="D5" s="4" t="s">
        <v>41</v>
      </c>
      <c r="E5" s="4" t="s">
        <v>33</v>
      </c>
      <c r="F5" s="4" t="s">
        <v>34</v>
      </c>
      <c r="G5" s="4" t="s">
        <v>35</v>
      </c>
      <c r="H5" s="4">
        <v>3</v>
      </c>
      <c r="I5" s="4">
        <v>59.99</v>
      </c>
      <c r="J5" s="4" t="s">
        <v>22</v>
      </c>
      <c r="K5" s="4" t="s">
        <v>42</v>
      </c>
      <c r="L5" s="4" t="s">
        <v>29</v>
      </c>
      <c r="M5" s="5">
        <v>45114</v>
      </c>
      <c r="N5" s="4">
        <v>179.97</v>
      </c>
      <c r="O5" s="7">
        <f t="shared" ca="1" si="0"/>
        <v>46084.816637962962</v>
      </c>
      <c r="P5" s="8">
        <f t="shared" ca="1" si="1"/>
        <v>46084.816637962962</v>
      </c>
      <c r="Q5">
        <f t="shared" si="2"/>
        <v>227512.56000000032</v>
      </c>
      <c r="R5">
        <f t="shared" si="3"/>
        <v>3.5999999999999996</v>
      </c>
      <c r="S5">
        <f t="shared" si="4"/>
        <v>215.964</v>
      </c>
      <c r="T5" cm="1">
        <f t="array" ref="T5">SUMPRODUCT(H5:H253*1.2, I5:I253)</f>
        <v>273015.07200000004</v>
      </c>
      <c r="U5" cm="1">
        <f t="array" ref="U5">SUMPRODUCT(H5:H253, I5:I253*0.9)</f>
        <v>204761.30399999983</v>
      </c>
      <c r="V5" cm="1">
        <f t="array" ref="V5">SUMPRODUCT((H5:H253*1.15)*(I5:I253*0.95))</f>
        <v>248557.47180000035</v>
      </c>
      <c r="W5">
        <f>MONTH(Table1[[#This Row],[Date]])</f>
        <v>4</v>
      </c>
    </row>
    <row r="6" spans="1:26" ht="14.4" x14ac:dyDescent="0.3">
      <c r="A6" s="4" t="s">
        <v>43</v>
      </c>
      <c r="B6" s="5">
        <v>45400</v>
      </c>
      <c r="C6" s="4" t="s">
        <v>44</v>
      </c>
      <c r="D6" s="4" t="s">
        <v>45</v>
      </c>
      <c r="E6" s="4" t="s">
        <v>46</v>
      </c>
      <c r="F6" s="4" t="s">
        <v>47</v>
      </c>
      <c r="G6" s="4" t="s">
        <v>48</v>
      </c>
      <c r="H6" s="4">
        <v>5</v>
      </c>
      <c r="I6" s="4">
        <v>149.99</v>
      </c>
      <c r="J6" s="4" t="s">
        <v>28</v>
      </c>
      <c r="K6" s="4" t="s">
        <v>42</v>
      </c>
      <c r="L6" s="4" t="s">
        <v>29</v>
      </c>
      <c r="M6" s="5">
        <v>45295</v>
      </c>
      <c r="N6" s="4">
        <v>749.95</v>
      </c>
      <c r="O6" s="7">
        <f t="shared" ca="1" si="0"/>
        <v>46084.816637962962</v>
      </c>
      <c r="P6" s="8">
        <f t="shared" ca="1" si="1"/>
        <v>46084.816637962962</v>
      </c>
      <c r="Q6">
        <f t="shared" si="2"/>
        <v>227332.59000000032</v>
      </c>
      <c r="R6">
        <f t="shared" si="3"/>
        <v>6</v>
      </c>
      <c r="S6">
        <f t="shared" si="4"/>
        <v>899.94</v>
      </c>
      <c r="T6" cm="1">
        <f t="array" ref="T6">SUMPRODUCT(H6:H254*1.2, I6:I254)</f>
        <v>272799.10800000007</v>
      </c>
      <c r="U6" cm="1">
        <f t="array" ref="U6">SUMPRODUCT(H6:H254, I6:I254*0.9)</f>
        <v>204599.33099999983</v>
      </c>
      <c r="V6" cm="1">
        <f t="array" ref="V6">SUMPRODUCT((H6:H254*1.15)*(I6:I254*0.95))</f>
        <v>248360.85457500035</v>
      </c>
      <c r="W6">
        <f>MONTH(Table1[[#This Row],[Date]])</f>
        <v>4</v>
      </c>
    </row>
    <row r="7" spans="1:26" ht="14.4" x14ac:dyDescent="0.3">
      <c r="A7" s="4" t="s">
        <v>49</v>
      </c>
      <c r="B7" s="5">
        <v>45403</v>
      </c>
      <c r="C7" s="4" t="s">
        <v>50</v>
      </c>
      <c r="D7" s="4" t="s">
        <v>51</v>
      </c>
      <c r="E7" s="4" t="s">
        <v>33</v>
      </c>
      <c r="F7" s="4" t="s">
        <v>34</v>
      </c>
      <c r="G7" s="4" t="s">
        <v>35</v>
      </c>
      <c r="H7" s="4">
        <v>2</v>
      </c>
      <c r="I7" s="4">
        <v>59.99</v>
      </c>
      <c r="J7" s="4" t="s">
        <v>22</v>
      </c>
      <c r="K7" s="4" t="s">
        <v>52</v>
      </c>
      <c r="L7" s="4" t="s">
        <v>38</v>
      </c>
      <c r="M7" s="5">
        <v>44746</v>
      </c>
      <c r="N7" s="4">
        <v>119.98</v>
      </c>
      <c r="O7" s="7">
        <f t="shared" ca="1" si="0"/>
        <v>46084.816637962962</v>
      </c>
      <c r="P7" s="8">
        <f t="shared" ca="1" si="1"/>
        <v>46084.816637962962</v>
      </c>
      <c r="Q7">
        <f t="shared" si="2"/>
        <v>226582.64000000031</v>
      </c>
      <c r="R7">
        <f t="shared" si="3"/>
        <v>2.4</v>
      </c>
      <c r="S7">
        <f t="shared" si="4"/>
        <v>143.976</v>
      </c>
      <c r="T7" cm="1">
        <f t="array" ref="T7">SUMPRODUCT(H7:H255*1.2, I7:I255)</f>
        <v>271899.16800000006</v>
      </c>
      <c r="U7" cm="1">
        <f t="array" ref="U7">SUMPRODUCT(H7:H255, I7:I255*0.9)</f>
        <v>203924.37599999987</v>
      </c>
      <c r="V7" cm="1">
        <f t="array" ref="V7">SUMPRODUCT((H7:H255*1.15)*(I7:I255*0.95))</f>
        <v>247541.53420000034</v>
      </c>
      <c r="W7">
        <f>MONTH(Table1[[#This Row],[Date]])</f>
        <v>4</v>
      </c>
    </row>
    <row r="8" spans="1:26" ht="14.4" x14ac:dyDescent="0.3">
      <c r="A8" s="4" t="s">
        <v>53</v>
      </c>
      <c r="B8" s="5">
        <v>45403</v>
      </c>
      <c r="C8" s="4" t="s">
        <v>50</v>
      </c>
      <c r="D8" s="4" t="s">
        <v>51</v>
      </c>
      <c r="E8" s="4" t="s">
        <v>54</v>
      </c>
      <c r="F8" s="4" t="s">
        <v>55</v>
      </c>
      <c r="G8" s="4" t="s">
        <v>21</v>
      </c>
      <c r="H8" s="4">
        <v>5</v>
      </c>
      <c r="I8" s="4">
        <v>149.99</v>
      </c>
      <c r="J8" s="4" t="s">
        <v>28</v>
      </c>
      <c r="K8" s="4" t="s">
        <v>23</v>
      </c>
      <c r="L8" s="4" t="s">
        <v>38</v>
      </c>
      <c r="M8" s="5">
        <v>44418</v>
      </c>
      <c r="N8" s="4">
        <v>749.95</v>
      </c>
      <c r="O8" s="7">
        <f t="shared" ca="1" si="0"/>
        <v>46084.816637962962</v>
      </c>
      <c r="P8" s="8">
        <f t="shared" ca="1" si="1"/>
        <v>46084.816637962962</v>
      </c>
      <c r="Q8">
        <f t="shared" si="2"/>
        <v>226462.66000000032</v>
      </c>
      <c r="R8">
        <f t="shared" si="3"/>
        <v>6</v>
      </c>
      <c r="S8">
        <f t="shared" si="4"/>
        <v>899.94</v>
      </c>
      <c r="T8" cm="1">
        <f t="array" ref="T8">SUMPRODUCT(H8:H256*1.2, I8:I256)</f>
        <v>271755.19199999998</v>
      </c>
      <c r="U8" cm="1">
        <f t="array" ref="U8">SUMPRODUCT(H8:H256, I8:I256*0.9)</f>
        <v>203816.39399999988</v>
      </c>
      <c r="V8" cm="1">
        <f t="array" ref="V8">SUMPRODUCT((H8:H256*1.15)*(I8:I256*0.95))</f>
        <v>247410.45605000036</v>
      </c>
      <c r="W8">
        <f>MONTH(Table1[[#This Row],[Date]])</f>
        <v>4</v>
      </c>
    </row>
    <row r="9" spans="1:26" ht="14.4" x14ac:dyDescent="0.3">
      <c r="A9" s="4" t="s">
        <v>56</v>
      </c>
      <c r="B9" s="5">
        <v>45403</v>
      </c>
      <c r="C9" s="4" t="s">
        <v>57</v>
      </c>
      <c r="D9" s="4" t="s">
        <v>58</v>
      </c>
      <c r="E9" s="4" t="s">
        <v>33</v>
      </c>
      <c r="F9" s="4" t="s">
        <v>34</v>
      </c>
      <c r="G9" s="4" t="s">
        <v>35</v>
      </c>
      <c r="H9" s="4">
        <v>3</v>
      </c>
      <c r="I9" s="4">
        <v>59.99</v>
      </c>
      <c r="J9" s="4" t="s">
        <v>59</v>
      </c>
      <c r="K9" s="4" t="s">
        <v>37</v>
      </c>
      <c r="L9" s="4" t="s">
        <v>24</v>
      </c>
      <c r="M9" s="5">
        <v>45007</v>
      </c>
      <c r="N9" s="4">
        <v>179.97</v>
      </c>
      <c r="O9" s="7">
        <f t="shared" ca="1" si="0"/>
        <v>46084.816637962962</v>
      </c>
      <c r="P9" s="8">
        <f t="shared" ca="1" si="1"/>
        <v>46084.816637962962</v>
      </c>
      <c r="Q9">
        <f t="shared" si="2"/>
        <v>225712.71000000031</v>
      </c>
      <c r="R9">
        <f t="shared" si="3"/>
        <v>3.5999999999999996</v>
      </c>
      <c r="S9">
        <f t="shared" si="4"/>
        <v>215.964</v>
      </c>
      <c r="T9" cm="1">
        <f t="array" ref="T9">SUMPRODUCT(H9:H257*1.2, I9:I257)</f>
        <v>270855.25200000004</v>
      </c>
      <c r="U9" cm="1">
        <f t="array" ref="U9">SUMPRODUCT(H9:H257, I9:I257*0.9)</f>
        <v>203141.43899999987</v>
      </c>
      <c r="V9" cm="1">
        <f t="array" ref="V9">SUMPRODUCT((H9:H257*1.15)*(I9:I257*0.95))</f>
        <v>246591.13567500035</v>
      </c>
      <c r="W9">
        <f>MONTH(Table1[[#This Row],[Date]])</f>
        <v>4</v>
      </c>
    </row>
    <row r="10" spans="1:26" ht="14.4" x14ac:dyDescent="0.3">
      <c r="A10" s="4" t="s">
        <v>60</v>
      </c>
      <c r="B10" s="5">
        <v>45405</v>
      </c>
      <c r="C10" s="4" t="s">
        <v>61</v>
      </c>
      <c r="D10" s="4" t="s">
        <v>62</v>
      </c>
      <c r="E10" s="4" t="s">
        <v>63</v>
      </c>
      <c r="F10" s="4" t="s">
        <v>64</v>
      </c>
      <c r="G10" s="4" t="s">
        <v>21</v>
      </c>
      <c r="H10" s="4">
        <v>3</v>
      </c>
      <c r="I10" s="4">
        <v>899.99</v>
      </c>
      <c r="J10" s="4" t="s">
        <v>36</v>
      </c>
      <c r="K10" s="4" t="s">
        <v>65</v>
      </c>
      <c r="L10" s="4" t="s">
        <v>38</v>
      </c>
      <c r="M10" s="5">
        <v>45299</v>
      </c>
      <c r="N10" s="4">
        <v>2699.97</v>
      </c>
      <c r="O10" s="7">
        <f t="shared" ca="1" si="0"/>
        <v>46084.816637962962</v>
      </c>
      <c r="P10" s="8">
        <f t="shared" ca="1" si="1"/>
        <v>46084.816637962962</v>
      </c>
      <c r="Q10">
        <f t="shared" si="2"/>
        <v>225532.74000000031</v>
      </c>
      <c r="R10">
        <f t="shared" si="3"/>
        <v>3.5999999999999996</v>
      </c>
      <c r="S10">
        <f t="shared" si="4"/>
        <v>3239.9639999999995</v>
      </c>
      <c r="T10" cm="1">
        <f t="array" ref="T10">SUMPRODUCT(H10:H258*1.2, I10:I258)</f>
        <v>270639.288</v>
      </c>
      <c r="U10" cm="1">
        <f t="array" ref="U10">SUMPRODUCT(H10:H258, I10:I258*0.9)</f>
        <v>202979.46599999987</v>
      </c>
      <c r="V10" cm="1">
        <f t="array" ref="V10">SUMPRODUCT((H10:H258*1.15)*(I10:I258*0.95))</f>
        <v>246394.51845000035</v>
      </c>
      <c r="W10">
        <f>MONTH(Table1[[#This Row],[Date]])</f>
        <v>4</v>
      </c>
    </row>
    <row r="11" spans="1:26" ht="14.4" x14ac:dyDescent="0.3">
      <c r="A11" s="4" t="s">
        <v>66</v>
      </c>
      <c r="B11" s="5">
        <v>45408</v>
      </c>
      <c r="C11" s="4" t="s">
        <v>67</v>
      </c>
      <c r="D11" s="4" t="s">
        <v>68</v>
      </c>
      <c r="E11" s="4" t="s">
        <v>33</v>
      </c>
      <c r="F11" s="4" t="s">
        <v>34</v>
      </c>
      <c r="G11" s="4" t="s">
        <v>35</v>
      </c>
      <c r="H11" s="4">
        <v>3</v>
      </c>
      <c r="I11" s="4">
        <v>59.99</v>
      </c>
      <c r="J11" s="4" t="s">
        <v>22</v>
      </c>
      <c r="K11" s="4" t="s">
        <v>52</v>
      </c>
      <c r="L11" s="4" t="s">
        <v>29</v>
      </c>
      <c r="M11" s="5">
        <v>45207</v>
      </c>
      <c r="N11" s="4">
        <v>179.97</v>
      </c>
      <c r="O11" s="7">
        <f t="shared" ca="1" si="0"/>
        <v>46084.816637962962</v>
      </c>
      <c r="P11" s="8">
        <f t="shared" ca="1" si="1"/>
        <v>46084.816637962962</v>
      </c>
      <c r="Q11">
        <f t="shared" si="2"/>
        <v>222832.77000000031</v>
      </c>
      <c r="R11">
        <f t="shared" si="3"/>
        <v>3.5999999999999996</v>
      </c>
      <c r="S11">
        <f t="shared" si="4"/>
        <v>215.964</v>
      </c>
      <c r="T11" cm="1">
        <f t="array" ref="T11">SUMPRODUCT(H11:H259*1.2, I11:I259)</f>
        <v>267399.32400000002</v>
      </c>
      <c r="U11" cm="1">
        <f t="array" ref="U11">SUMPRODUCT(H11:H259, I11:I259*0.9)</f>
        <v>200549.49299999984</v>
      </c>
      <c r="V11" cm="1">
        <f t="array" ref="V11">SUMPRODUCT((H11:H259*1.15)*(I11:I259*0.95))</f>
        <v>243444.80122500032</v>
      </c>
      <c r="W11">
        <f>MONTH(Table1[[#This Row],[Date]])</f>
        <v>4</v>
      </c>
    </row>
    <row r="12" spans="1:26" ht="14.4" x14ac:dyDescent="0.3">
      <c r="A12" s="4" t="s">
        <v>69</v>
      </c>
      <c r="B12" s="5">
        <v>45408</v>
      </c>
      <c r="C12" s="4" t="s">
        <v>70</v>
      </c>
      <c r="D12" s="4" t="s">
        <v>71</v>
      </c>
      <c r="E12" s="4" t="s">
        <v>46</v>
      </c>
      <c r="F12" s="4" t="s">
        <v>47</v>
      </c>
      <c r="G12" s="4" t="s">
        <v>48</v>
      </c>
      <c r="H12" s="4">
        <v>1</v>
      </c>
      <c r="I12" s="4">
        <v>149.99</v>
      </c>
      <c r="J12" s="4" t="s">
        <v>28</v>
      </c>
      <c r="K12" s="4" t="s">
        <v>52</v>
      </c>
      <c r="L12" s="4" t="s">
        <v>38</v>
      </c>
      <c r="M12" s="5">
        <v>45103</v>
      </c>
      <c r="N12" s="4">
        <v>149.99</v>
      </c>
      <c r="O12" s="7">
        <f t="shared" ca="1" si="0"/>
        <v>46084.816637962962</v>
      </c>
      <c r="P12" s="8">
        <f t="shared" ca="1" si="1"/>
        <v>46084.816637962962</v>
      </c>
      <c r="Q12">
        <f t="shared" si="2"/>
        <v>222652.80000000031</v>
      </c>
      <c r="R12">
        <f t="shared" si="3"/>
        <v>1.2</v>
      </c>
      <c r="S12">
        <f t="shared" si="4"/>
        <v>179.988</v>
      </c>
      <c r="T12" cm="1">
        <f t="array" ref="T12">SUMPRODUCT(H12:H260*1.2, I12:I260)</f>
        <v>267183.36000000004</v>
      </c>
      <c r="U12" cm="1">
        <f t="array" ref="U12">SUMPRODUCT(H12:H260, I12:I260*0.9)</f>
        <v>200387.51999999984</v>
      </c>
      <c r="V12" cm="1">
        <f t="array" ref="V12">SUMPRODUCT((H12:H260*1.15)*(I12:I260*0.95))</f>
        <v>243248.18400000033</v>
      </c>
      <c r="W12">
        <f>MONTH(Table1[[#This Row],[Date]])</f>
        <v>4</v>
      </c>
    </row>
    <row r="13" spans="1:26" ht="14.4" x14ac:dyDescent="0.3">
      <c r="A13" s="4" t="s">
        <v>72</v>
      </c>
      <c r="B13" s="5">
        <v>45408</v>
      </c>
      <c r="C13" s="4" t="s">
        <v>40</v>
      </c>
      <c r="D13" s="4" t="s">
        <v>41</v>
      </c>
      <c r="E13" s="4" t="s">
        <v>46</v>
      </c>
      <c r="F13" s="4" t="s">
        <v>47</v>
      </c>
      <c r="G13" s="4" t="s">
        <v>48</v>
      </c>
      <c r="H13" s="4">
        <v>5</v>
      </c>
      <c r="I13" s="4">
        <v>149.99</v>
      </c>
      <c r="J13" s="4" t="s">
        <v>59</v>
      </c>
      <c r="K13" s="4" t="s">
        <v>42</v>
      </c>
      <c r="L13" s="4" t="s">
        <v>24</v>
      </c>
      <c r="M13" s="5">
        <v>44830</v>
      </c>
      <c r="N13" s="4">
        <v>749.95</v>
      </c>
      <c r="O13" s="7">
        <f t="shared" ca="1" si="0"/>
        <v>46084.816637962962</v>
      </c>
      <c r="P13" s="8">
        <f t="shared" ca="1" si="1"/>
        <v>46084.816637962962</v>
      </c>
      <c r="Q13">
        <f t="shared" si="2"/>
        <v>222502.81000000032</v>
      </c>
      <c r="R13">
        <f t="shared" si="3"/>
        <v>6</v>
      </c>
      <c r="S13">
        <f t="shared" si="4"/>
        <v>899.94</v>
      </c>
      <c r="T13" cm="1">
        <f t="array" ref="T13">SUMPRODUCT(H13:H261*1.2, I13:I261)</f>
        <v>267003.37200000003</v>
      </c>
      <c r="U13" cm="1">
        <f t="array" ref="U13">SUMPRODUCT(H13:H261, I13:I261*0.9)</f>
        <v>200252.52899999986</v>
      </c>
      <c r="V13" cm="1">
        <f t="array" ref="V13">SUMPRODUCT((H13:H261*1.15)*(I13:I261*0.95))</f>
        <v>243084.31992500031</v>
      </c>
      <c r="W13">
        <f>MONTH(Table1[[#This Row],[Date]])</f>
        <v>4</v>
      </c>
    </row>
    <row r="14" spans="1:26" ht="14.4" x14ac:dyDescent="0.3">
      <c r="A14" s="4" t="s">
        <v>73</v>
      </c>
      <c r="B14" s="5">
        <v>45408</v>
      </c>
      <c r="C14" s="4" t="s">
        <v>74</v>
      </c>
      <c r="D14" s="4" t="s">
        <v>75</v>
      </c>
      <c r="E14" s="4" t="s">
        <v>46</v>
      </c>
      <c r="F14" s="4" t="s">
        <v>47</v>
      </c>
      <c r="G14" s="4" t="s">
        <v>48</v>
      </c>
      <c r="H14" s="4">
        <v>3</v>
      </c>
      <c r="I14" s="4">
        <v>149.99</v>
      </c>
      <c r="J14" s="4" t="s">
        <v>22</v>
      </c>
      <c r="K14" s="4" t="s">
        <v>42</v>
      </c>
      <c r="L14" s="4" t="s">
        <v>29</v>
      </c>
      <c r="M14" s="5">
        <v>44806</v>
      </c>
      <c r="N14" s="4">
        <v>449.97</v>
      </c>
      <c r="O14" s="7">
        <f t="shared" ca="1" si="0"/>
        <v>46084.816637962962</v>
      </c>
      <c r="P14" s="8">
        <f t="shared" ca="1" si="1"/>
        <v>46084.816637962962</v>
      </c>
      <c r="Q14">
        <f t="shared" si="2"/>
        <v>221752.86000000031</v>
      </c>
      <c r="R14">
        <f t="shared" si="3"/>
        <v>3.5999999999999996</v>
      </c>
      <c r="S14">
        <f t="shared" si="4"/>
        <v>539.96399999999994</v>
      </c>
      <c r="T14" cm="1">
        <f t="array" ref="T14">SUMPRODUCT(H14:H262*1.2, I14:I262)</f>
        <v>266103.43200000003</v>
      </c>
      <c r="U14" cm="1">
        <f t="array" ref="U14">SUMPRODUCT(H14:H262, I14:I262*0.9)</f>
        <v>199577.57399999988</v>
      </c>
      <c r="V14" cm="1">
        <f t="array" ref="V14">SUMPRODUCT((H14:H262*1.15)*(I14:I262*0.95))</f>
        <v>242264.99955000033</v>
      </c>
      <c r="W14">
        <f>MONTH(Table1[[#This Row],[Date]])</f>
        <v>4</v>
      </c>
    </row>
    <row r="15" spans="1:26" ht="14.4" x14ac:dyDescent="0.3">
      <c r="A15" s="4" t="s">
        <v>76</v>
      </c>
      <c r="B15" s="5">
        <v>45409</v>
      </c>
      <c r="C15" s="4" t="s">
        <v>77</v>
      </c>
      <c r="D15" s="4" t="s">
        <v>78</v>
      </c>
      <c r="E15" s="4" t="s">
        <v>33</v>
      </c>
      <c r="F15" s="4" t="s">
        <v>34</v>
      </c>
      <c r="G15" s="4" t="s">
        <v>35</v>
      </c>
      <c r="H15" s="4">
        <v>3</v>
      </c>
      <c r="I15" s="4">
        <v>59.99</v>
      </c>
      <c r="J15" s="4" t="s">
        <v>28</v>
      </c>
      <c r="K15" s="4" t="s">
        <v>42</v>
      </c>
      <c r="L15" s="4" t="s">
        <v>38</v>
      </c>
      <c r="M15" s="5">
        <v>45351</v>
      </c>
      <c r="N15" s="4">
        <v>179.97</v>
      </c>
      <c r="O15" s="7">
        <f t="shared" ca="1" si="0"/>
        <v>46084.816637962962</v>
      </c>
      <c r="P15" s="8">
        <f t="shared" ca="1" si="1"/>
        <v>46084.816637962962</v>
      </c>
      <c r="Q15">
        <f t="shared" si="2"/>
        <v>221302.89000000031</v>
      </c>
      <c r="R15">
        <f t="shared" si="3"/>
        <v>3.5999999999999996</v>
      </c>
      <c r="S15">
        <f t="shared" si="4"/>
        <v>215.964</v>
      </c>
      <c r="T15" cm="1">
        <f t="array" ref="T15">SUMPRODUCT(H15:H263*1.2, I15:I263)</f>
        <v>265563.46800000005</v>
      </c>
      <c r="U15" cm="1">
        <f t="array" ref="U15">SUMPRODUCT(H15:H263, I15:I263*0.9)</f>
        <v>199172.60099999985</v>
      </c>
      <c r="V15" cm="1">
        <f t="array" ref="V15">SUMPRODUCT((H15:H263*1.15)*(I15:I263*0.95))</f>
        <v>241773.40732500033</v>
      </c>
      <c r="W15">
        <f>MONTH(Table1[[#This Row],[Date]])</f>
        <v>4</v>
      </c>
    </row>
    <row r="16" spans="1:26" ht="14.4" x14ac:dyDescent="0.3">
      <c r="A16" s="4" t="s">
        <v>79</v>
      </c>
      <c r="B16" s="5">
        <v>45409</v>
      </c>
      <c r="C16" s="4" t="s">
        <v>80</v>
      </c>
      <c r="D16" s="4" t="s">
        <v>81</v>
      </c>
      <c r="E16" s="4" t="s">
        <v>82</v>
      </c>
      <c r="F16" s="4" t="s">
        <v>83</v>
      </c>
      <c r="G16" s="4" t="s">
        <v>21</v>
      </c>
      <c r="H16" s="4">
        <v>3</v>
      </c>
      <c r="I16" s="4">
        <v>699.99</v>
      </c>
      <c r="J16" s="4" t="s">
        <v>28</v>
      </c>
      <c r="K16" s="4" t="s">
        <v>52</v>
      </c>
      <c r="L16" s="4" t="s">
        <v>24</v>
      </c>
      <c r="M16" s="5">
        <v>44577</v>
      </c>
      <c r="N16" s="4">
        <v>2099.9699999999998</v>
      </c>
      <c r="O16" s="7">
        <f t="shared" ca="1" si="0"/>
        <v>46084.816637962962</v>
      </c>
      <c r="P16" s="8">
        <f t="shared" ca="1" si="1"/>
        <v>46084.816637962962</v>
      </c>
      <c r="Q16">
        <f t="shared" si="2"/>
        <v>221122.9200000003</v>
      </c>
      <c r="R16">
        <f t="shared" si="3"/>
        <v>3.5999999999999996</v>
      </c>
      <c r="S16">
        <f t="shared" si="4"/>
        <v>2519.9639999999999</v>
      </c>
      <c r="T16" cm="1">
        <f t="array" ref="T16">SUMPRODUCT(H16:H264*1.2, I16:I264)</f>
        <v>265347.50400000007</v>
      </c>
      <c r="U16" cm="1">
        <f t="array" ref="U16">SUMPRODUCT(H16:H264, I16:I264*0.9)</f>
        <v>199010.62799999985</v>
      </c>
      <c r="V16" cm="1">
        <f t="array" ref="V16">SUMPRODUCT((H16:H264*1.15)*(I16:I264*0.95))</f>
        <v>241576.79010000033</v>
      </c>
      <c r="W16">
        <f>MONTH(Table1[[#This Row],[Date]])</f>
        <v>4</v>
      </c>
    </row>
    <row r="17" spans="1:23" ht="14.4" x14ac:dyDescent="0.3">
      <c r="A17" s="4" t="s">
        <v>84</v>
      </c>
      <c r="B17" s="5">
        <v>45409</v>
      </c>
      <c r="C17" s="4" t="s">
        <v>85</v>
      </c>
      <c r="D17" s="4" t="s">
        <v>86</v>
      </c>
      <c r="E17" s="4" t="s">
        <v>63</v>
      </c>
      <c r="F17" s="4" t="s">
        <v>64</v>
      </c>
      <c r="G17" s="4" t="s">
        <v>21</v>
      </c>
      <c r="H17" s="4">
        <v>1</v>
      </c>
      <c r="I17" s="4">
        <v>899.99</v>
      </c>
      <c r="J17" s="4" t="s">
        <v>59</v>
      </c>
      <c r="K17" s="4" t="s">
        <v>42</v>
      </c>
      <c r="L17" s="4" t="s">
        <v>38</v>
      </c>
      <c r="M17" s="5">
        <v>44920</v>
      </c>
      <c r="N17" s="4">
        <v>899.99</v>
      </c>
      <c r="O17" s="7">
        <f t="shared" ca="1" si="0"/>
        <v>46084.816637962962</v>
      </c>
      <c r="P17" s="8">
        <f t="shared" ca="1" si="1"/>
        <v>46084.816637962962</v>
      </c>
      <c r="Q17">
        <f t="shared" si="2"/>
        <v>219022.95000000027</v>
      </c>
      <c r="R17">
        <f t="shared" si="3"/>
        <v>1.2</v>
      </c>
      <c r="S17">
        <f t="shared" si="4"/>
        <v>1079.9880000000001</v>
      </c>
      <c r="T17" cm="1">
        <f t="array" ref="T17">SUMPRODUCT(H17:H265*1.2, I17:I265)</f>
        <v>262827.54000000004</v>
      </c>
      <c r="U17" cm="1">
        <f t="array" ref="U17">SUMPRODUCT(H17:H265, I17:I265*0.9)</f>
        <v>197120.65499999988</v>
      </c>
      <c r="V17" cm="1">
        <f t="array" ref="V17">SUMPRODUCT((H17:H265*1.15)*(I17:I265*0.95))</f>
        <v>239282.5728750003</v>
      </c>
      <c r="W17">
        <f>MONTH(Table1[[#This Row],[Date]])</f>
        <v>4</v>
      </c>
    </row>
    <row r="18" spans="1:23" ht="14.4" x14ac:dyDescent="0.3">
      <c r="A18" s="4" t="s">
        <v>87</v>
      </c>
      <c r="B18" s="5">
        <v>45410</v>
      </c>
      <c r="C18" s="4" t="s">
        <v>88</v>
      </c>
      <c r="D18" s="4" t="s">
        <v>89</v>
      </c>
      <c r="E18" s="4" t="s">
        <v>46</v>
      </c>
      <c r="F18" s="4" t="s">
        <v>47</v>
      </c>
      <c r="G18" s="4" t="s">
        <v>48</v>
      </c>
      <c r="H18" s="4">
        <v>4</v>
      </c>
      <c r="I18" s="4">
        <v>149.99</v>
      </c>
      <c r="J18" s="4" t="s">
        <v>59</v>
      </c>
      <c r="K18" s="4" t="s">
        <v>42</v>
      </c>
      <c r="L18" s="4" t="s">
        <v>29</v>
      </c>
      <c r="M18" s="5">
        <v>45374</v>
      </c>
      <c r="N18" s="4">
        <v>599.96</v>
      </c>
      <c r="O18" s="7">
        <f t="shared" ca="1" si="0"/>
        <v>46084.816637962962</v>
      </c>
      <c r="P18" s="8">
        <f t="shared" ca="1" si="1"/>
        <v>46084.816637962962</v>
      </c>
      <c r="Q18">
        <f t="shared" si="2"/>
        <v>218122.96000000028</v>
      </c>
      <c r="R18">
        <f t="shared" si="3"/>
        <v>4.8</v>
      </c>
      <c r="S18">
        <f t="shared" si="4"/>
        <v>719.952</v>
      </c>
      <c r="T18" cm="1">
        <f t="array" ref="T18">SUMPRODUCT(H18:H266*1.2, I18:I266)</f>
        <v>261747.55200000005</v>
      </c>
      <c r="U18" cm="1">
        <f t="array" ref="U18">SUMPRODUCT(H18:H266, I18:I266*0.9)</f>
        <v>196310.6639999999</v>
      </c>
      <c r="V18" cm="1">
        <f t="array" ref="V18">SUMPRODUCT((H18:H266*1.15)*(I18:I266*0.95))</f>
        <v>238299.33380000028</v>
      </c>
      <c r="W18">
        <f>MONTH(Table1[[#This Row],[Date]])</f>
        <v>4</v>
      </c>
    </row>
    <row r="19" spans="1:23" ht="14.4" x14ac:dyDescent="0.3">
      <c r="A19" s="4" t="s">
        <v>90</v>
      </c>
      <c r="B19" s="5">
        <v>45410</v>
      </c>
      <c r="C19" s="4" t="s">
        <v>91</v>
      </c>
      <c r="D19" s="4" t="s">
        <v>92</v>
      </c>
      <c r="E19" s="4" t="s">
        <v>82</v>
      </c>
      <c r="F19" s="4" t="s">
        <v>83</v>
      </c>
      <c r="G19" s="4" t="s">
        <v>21</v>
      </c>
      <c r="H19" s="4">
        <v>2</v>
      </c>
      <c r="I19" s="4">
        <v>699.99</v>
      </c>
      <c r="J19" s="4" t="s">
        <v>22</v>
      </c>
      <c r="K19" s="4" t="s">
        <v>42</v>
      </c>
      <c r="L19" s="4" t="s">
        <v>24</v>
      </c>
      <c r="M19" s="5">
        <v>44781</v>
      </c>
      <c r="N19" s="4">
        <v>1399.98</v>
      </c>
      <c r="O19" s="7">
        <f t="shared" ca="1" si="0"/>
        <v>46084.816637962962</v>
      </c>
      <c r="P19" s="8">
        <f t="shared" ca="1" si="1"/>
        <v>46084.816637962962</v>
      </c>
      <c r="Q19">
        <f t="shared" si="2"/>
        <v>217523.00000000029</v>
      </c>
      <c r="R19">
        <f t="shared" si="3"/>
        <v>2.4</v>
      </c>
      <c r="S19">
        <f t="shared" si="4"/>
        <v>1679.9759999999999</v>
      </c>
      <c r="T19" cm="1">
        <f t="array" ref="T19">SUMPRODUCT(H19:H267*1.2, I19:I267)</f>
        <v>261027.60000000006</v>
      </c>
      <c r="U19" cm="1">
        <f t="array" ref="U19">SUMPRODUCT(H19:H267, I19:I267*0.9)</f>
        <v>195770.6999999999</v>
      </c>
      <c r="V19" cm="1">
        <f t="array" ref="V19">SUMPRODUCT((H19:H267*1.15)*(I19:I267*0.95))</f>
        <v>237643.87750000026</v>
      </c>
      <c r="W19">
        <f>MONTH(Table1[[#This Row],[Date]])</f>
        <v>4</v>
      </c>
    </row>
    <row r="20" spans="1:23" ht="14.4" x14ac:dyDescent="0.3">
      <c r="A20" s="4" t="s">
        <v>93</v>
      </c>
      <c r="B20" s="5">
        <v>45410</v>
      </c>
      <c r="C20" s="4" t="s">
        <v>88</v>
      </c>
      <c r="D20" s="4" t="s">
        <v>89</v>
      </c>
      <c r="E20" s="4" t="s">
        <v>63</v>
      </c>
      <c r="F20" s="4" t="s">
        <v>64</v>
      </c>
      <c r="G20" s="4" t="s">
        <v>21</v>
      </c>
      <c r="H20" s="4">
        <v>4</v>
      </c>
      <c r="I20" s="4">
        <v>899.99</v>
      </c>
      <c r="J20" s="4" t="s">
        <v>28</v>
      </c>
      <c r="K20" s="4" t="s">
        <v>52</v>
      </c>
      <c r="L20" s="4" t="s">
        <v>38</v>
      </c>
      <c r="M20" s="5">
        <v>45327</v>
      </c>
      <c r="N20" s="4">
        <v>3599.96</v>
      </c>
      <c r="O20" s="7">
        <f t="shared" ca="1" si="0"/>
        <v>46084.816637962962</v>
      </c>
      <c r="P20" s="8">
        <f t="shared" ca="1" si="1"/>
        <v>46084.816637962962</v>
      </c>
      <c r="Q20">
        <f t="shared" si="2"/>
        <v>216123.02000000028</v>
      </c>
      <c r="R20">
        <f t="shared" si="3"/>
        <v>4.8</v>
      </c>
      <c r="S20">
        <f t="shared" si="4"/>
        <v>4319.9520000000002</v>
      </c>
      <c r="T20" cm="1">
        <f t="array" ref="T20">SUMPRODUCT(H20:H268*1.2, I20:I268)</f>
        <v>259347.62400000007</v>
      </c>
      <c r="U20" cm="1">
        <f t="array" ref="U20">SUMPRODUCT(H20:H268, I20:I268*0.9)</f>
        <v>194510.71799999991</v>
      </c>
      <c r="V20" cm="1">
        <f t="array" ref="V20">SUMPRODUCT((H20:H268*1.15)*(I20:I268*0.95))</f>
        <v>236114.39935000025</v>
      </c>
      <c r="W20">
        <f>MONTH(Table1[[#This Row],[Date]])</f>
        <v>4</v>
      </c>
    </row>
    <row r="21" spans="1:23" ht="15.75" customHeight="1" x14ac:dyDescent="0.3">
      <c r="A21" s="4" t="s">
        <v>94</v>
      </c>
      <c r="B21" s="5">
        <v>45410</v>
      </c>
      <c r="C21" s="4" t="s">
        <v>95</v>
      </c>
      <c r="D21" s="4" t="s">
        <v>96</v>
      </c>
      <c r="E21" s="4" t="s">
        <v>19</v>
      </c>
      <c r="F21" s="4" t="s">
        <v>20</v>
      </c>
      <c r="G21" s="4" t="s">
        <v>21</v>
      </c>
      <c r="H21" s="4">
        <v>3</v>
      </c>
      <c r="I21" s="4">
        <v>249.99</v>
      </c>
      <c r="J21" s="4" t="s">
        <v>28</v>
      </c>
      <c r="K21" s="4" t="s">
        <v>42</v>
      </c>
      <c r="L21" s="4" t="s">
        <v>29</v>
      </c>
      <c r="M21" s="5">
        <v>45224</v>
      </c>
      <c r="N21" s="4">
        <v>749.97</v>
      </c>
      <c r="O21" s="7">
        <f t="shared" ca="1" si="0"/>
        <v>46084.816637962962</v>
      </c>
      <c r="P21" s="8">
        <f t="shared" ca="1" si="1"/>
        <v>46084.816637962962</v>
      </c>
      <c r="Q21">
        <f t="shared" si="2"/>
        <v>212523.06000000029</v>
      </c>
      <c r="R21">
        <f t="shared" si="3"/>
        <v>3.5999999999999996</v>
      </c>
      <c r="S21">
        <f t="shared" si="4"/>
        <v>899.96399999999994</v>
      </c>
      <c r="T21" cm="1">
        <f t="array" ref="T21">SUMPRODUCT(H21:H269*1.2, I21:I269)</f>
        <v>255027.67200000008</v>
      </c>
      <c r="U21" cm="1">
        <f t="array" ref="U21">SUMPRODUCT(H21:H269, I21:I269*0.9)</f>
        <v>191270.75399999993</v>
      </c>
      <c r="V21" cm="1">
        <f t="array" ref="V21">SUMPRODUCT((H21:H269*1.15)*(I21:I269*0.95))</f>
        <v>232181.44305000026</v>
      </c>
      <c r="W21">
        <f>MONTH(Table1[[#This Row],[Date]])</f>
        <v>4</v>
      </c>
    </row>
    <row r="22" spans="1:23" ht="15.75" customHeight="1" x14ac:dyDescent="0.3">
      <c r="A22" s="4" t="s">
        <v>97</v>
      </c>
      <c r="B22" s="5">
        <v>45412</v>
      </c>
      <c r="C22" s="4" t="s">
        <v>98</v>
      </c>
      <c r="D22" s="4" t="s">
        <v>99</v>
      </c>
      <c r="E22" s="4" t="s">
        <v>82</v>
      </c>
      <c r="F22" s="4" t="s">
        <v>83</v>
      </c>
      <c r="G22" s="4" t="s">
        <v>21</v>
      </c>
      <c r="H22" s="4">
        <v>5</v>
      </c>
      <c r="I22" s="4">
        <v>699.99</v>
      </c>
      <c r="J22" s="4" t="s">
        <v>22</v>
      </c>
      <c r="K22" s="4" t="s">
        <v>52</v>
      </c>
      <c r="L22" s="4" t="s">
        <v>24</v>
      </c>
      <c r="M22" s="5">
        <v>45167</v>
      </c>
      <c r="N22" s="4">
        <v>3499.95</v>
      </c>
      <c r="O22" s="7">
        <f t="shared" ca="1" si="0"/>
        <v>46084.816637962962</v>
      </c>
      <c r="P22" s="8">
        <f t="shared" ca="1" si="1"/>
        <v>46084.816637962962</v>
      </c>
      <c r="Q22">
        <f t="shared" si="2"/>
        <v>211773.09000000029</v>
      </c>
      <c r="R22">
        <f t="shared" si="3"/>
        <v>6</v>
      </c>
      <c r="S22">
        <f t="shared" si="4"/>
        <v>4199.9400000000005</v>
      </c>
      <c r="T22" cm="1">
        <f t="array" ref="T22">SUMPRODUCT(H22:H270*1.2, I22:I270)</f>
        <v>254127.7080000001</v>
      </c>
      <c r="U22" cm="1">
        <f t="array" ref="U22">SUMPRODUCT(H22:H270, I22:I270*0.9)</f>
        <v>190595.7809999999</v>
      </c>
      <c r="V22" cm="1">
        <f t="array" ref="V22">SUMPRODUCT((H22:H270*1.15)*(I22:I270*0.95))</f>
        <v>231362.10082500023</v>
      </c>
      <c r="W22">
        <f>MONTH(Table1[[#This Row],[Date]])</f>
        <v>4</v>
      </c>
    </row>
    <row r="23" spans="1:23" ht="15.75" customHeight="1" x14ac:dyDescent="0.3">
      <c r="A23" s="4" t="s">
        <v>100</v>
      </c>
      <c r="B23" s="5">
        <v>45413</v>
      </c>
      <c r="C23" s="4" t="s">
        <v>101</v>
      </c>
      <c r="D23" s="4" t="s">
        <v>102</v>
      </c>
      <c r="E23" s="4" t="s">
        <v>82</v>
      </c>
      <c r="F23" s="4" t="s">
        <v>83</v>
      </c>
      <c r="G23" s="4" t="s">
        <v>21</v>
      </c>
      <c r="H23" s="4">
        <v>4</v>
      </c>
      <c r="I23" s="4">
        <v>699.99</v>
      </c>
      <c r="J23" s="4" t="s">
        <v>22</v>
      </c>
      <c r="K23" s="4" t="s">
        <v>65</v>
      </c>
      <c r="L23" s="4" t="s">
        <v>38</v>
      </c>
      <c r="M23" s="5">
        <v>44409</v>
      </c>
      <c r="N23" s="4">
        <v>2799.96</v>
      </c>
      <c r="O23" s="7">
        <f t="shared" ca="1" si="0"/>
        <v>46084.816637962962</v>
      </c>
      <c r="P23" s="8">
        <f t="shared" ca="1" si="1"/>
        <v>46084.816637962962</v>
      </c>
      <c r="Q23">
        <f t="shared" si="2"/>
        <v>208273.14000000028</v>
      </c>
      <c r="R23">
        <f t="shared" si="3"/>
        <v>4.8</v>
      </c>
      <c r="S23">
        <f t="shared" si="4"/>
        <v>3359.9519999999998</v>
      </c>
      <c r="T23" cm="1">
        <f t="array" ref="T23">SUMPRODUCT(H23:H271*1.2, I23:I271)</f>
        <v>249927.76800000007</v>
      </c>
      <c r="U23" cm="1">
        <f t="array" ref="U23">SUMPRODUCT(H23:H271, I23:I271*0.9)</f>
        <v>187445.82599999991</v>
      </c>
      <c r="V23" cm="1">
        <f t="array" ref="V23">SUMPRODUCT((H23:H271*1.15)*(I23:I271*0.95))</f>
        <v>227538.40545000019</v>
      </c>
      <c r="W23">
        <f>MONTH(Table1[[#This Row],[Date]])</f>
        <v>5</v>
      </c>
    </row>
    <row r="24" spans="1:23" ht="15.75" customHeight="1" x14ac:dyDescent="0.3">
      <c r="A24" s="4" t="s">
        <v>103</v>
      </c>
      <c r="B24" s="5">
        <v>45415</v>
      </c>
      <c r="C24" s="4" t="s">
        <v>104</v>
      </c>
      <c r="D24" s="4" t="s">
        <v>105</v>
      </c>
      <c r="E24" s="4" t="s">
        <v>19</v>
      </c>
      <c r="F24" s="4" t="s">
        <v>20</v>
      </c>
      <c r="G24" s="4" t="s">
        <v>21</v>
      </c>
      <c r="H24" s="4">
        <v>4</v>
      </c>
      <c r="I24" s="4">
        <v>249.99</v>
      </c>
      <c r="J24" s="4" t="s">
        <v>36</v>
      </c>
      <c r="K24" s="4" t="s">
        <v>42</v>
      </c>
      <c r="L24" s="4" t="s">
        <v>38</v>
      </c>
      <c r="M24" s="5">
        <v>44468</v>
      </c>
      <c r="N24" s="4">
        <v>999.96</v>
      </c>
      <c r="O24" s="7">
        <f t="shared" ca="1" si="0"/>
        <v>46084.816637962962</v>
      </c>
      <c r="P24" s="8">
        <f t="shared" ca="1" si="1"/>
        <v>46084.816637962962</v>
      </c>
      <c r="Q24">
        <f t="shared" si="2"/>
        <v>205473.18000000028</v>
      </c>
      <c r="R24">
        <f t="shared" si="3"/>
        <v>4.8</v>
      </c>
      <c r="S24">
        <f t="shared" si="4"/>
        <v>1199.952</v>
      </c>
      <c r="T24" cm="1">
        <f t="array" ref="T24">SUMPRODUCT(H24:H272*1.2, I24:I272)</f>
        <v>246567.81600000011</v>
      </c>
      <c r="U24" cm="1">
        <f t="array" ref="U24">SUMPRODUCT(H24:H272, I24:I272*0.9)</f>
        <v>184925.86199999994</v>
      </c>
      <c r="V24" cm="1">
        <f t="array" ref="V24">SUMPRODUCT((H24:H272*1.15)*(I24:I272*0.95))</f>
        <v>224479.4491500002</v>
      </c>
      <c r="W24">
        <f>MONTH(Table1[[#This Row],[Date]])</f>
        <v>5</v>
      </c>
    </row>
    <row r="25" spans="1:23" ht="15.75" customHeight="1" x14ac:dyDescent="0.3">
      <c r="A25" s="4" t="s">
        <v>106</v>
      </c>
      <c r="B25" s="5">
        <v>45416</v>
      </c>
      <c r="C25" s="4" t="s">
        <v>88</v>
      </c>
      <c r="D25" s="4" t="s">
        <v>89</v>
      </c>
      <c r="E25" s="4" t="s">
        <v>107</v>
      </c>
      <c r="F25" s="4" t="s">
        <v>108</v>
      </c>
      <c r="G25" s="4" t="s">
        <v>48</v>
      </c>
      <c r="H25" s="4">
        <v>4</v>
      </c>
      <c r="I25" s="4">
        <v>299.99</v>
      </c>
      <c r="J25" s="4" t="s">
        <v>22</v>
      </c>
      <c r="K25" s="4" t="s">
        <v>52</v>
      </c>
      <c r="L25" s="4" t="s">
        <v>29</v>
      </c>
      <c r="M25" s="5">
        <v>44716</v>
      </c>
      <c r="N25" s="4">
        <v>1199.96</v>
      </c>
      <c r="O25" s="7">
        <f t="shared" ca="1" si="0"/>
        <v>46084.816637962962</v>
      </c>
      <c r="P25" s="8">
        <f t="shared" ca="1" si="1"/>
        <v>46084.816637962962</v>
      </c>
      <c r="Q25">
        <f t="shared" si="2"/>
        <v>204473.22000000026</v>
      </c>
      <c r="R25">
        <f t="shared" si="3"/>
        <v>4.8</v>
      </c>
      <c r="S25">
        <f t="shared" si="4"/>
        <v>1439.952</v>
      </c>
      <c r="T25" cm="1">
        <f t="array" ref="T25">SUMPRODUCT(H25:H273*1.2, I25:I273)</f>
        <v>245367.86400000006</v>
      </c>
      <c r="U25" cm="1">
        <f t="array" ref="U25">SUMPRODUCT(H25:H273, I25:I273*0.9)</f>
        <v>184025.8979999999</v>
      </c>
      <c r="V25" cm="1">
        <f t="array" ref="V25">SUMPRODUCT((H25:H273*1.15)*(I25:I273*0.95))</f>
        <v>223386.99285000021</v>
      </c>
      <c r="W25">
        <f>MONTH(Table1[[#This Row],[Date]])</f>
        <v>5</v>
      </c>
    </row>
    <row r="26" spans="1:23" ht="15.75" customHeight="1" x14ac:dyDescent="0.3">
      <c r="A26" s="4" t="s">
        <v>109</v>
      </c>
      <c r="B26" s="5">
        <v>45422</v>
      </c>
      <c r="C26" s="4" t="s">
        <v>110</v>
      </c>
      <c r="D26" s="4" t="s">
        <v>111</v>
      </c>
      <c r="E26" s="4" t="s">
        <v>19</v>
      </c>
      <c r="F26" s="4" t="s">
        <v>20</v>
      </c>
      <c r="G26" s="4" t="s">
        <v>21</v>
      </c>
      <c r="H26" s="4">
        <v>5</v>
      </c>
      <c r="I26" s="4">
        <v>249.99</v>
      </c>
      <c r="J26" s="4" t="s">
        <v>28</v>
      </c>
      <c r="K26" s="4" t="s">
        <v>52</v>
      </c>
      <c r="L26" s="4" t="s">
        <v>38</v>
      </c>
      <c r="M26" s="5">
        <v>44525</v>
      </c>
      <c r="N26" s="4">
        <v>1249.95</v>
      </c>
      <c r="O26" s="7">
        <f t="shared" ca="1" si="0"/>
        <v>46084.816637962962</v>
      </c>
      <c r="P26" s="8">
        <f t="shared" ca="1" si="1"/>
        <v>46084.816637962962</v>
      </c>
      <c r="Q26">
        <f t="shared" si="2"/>
        <v>203273.26000000024</v>
      </c>
      <c r="R26">
        <f t="shared" si="3"/>
        <v>6</v>
      </c>
      <c r="S26">
        <f t="shared" si="4"/>
        <v>1499.94</v>
      </c>
      <c r="T26" cm="1">
        <f t="array" ref="T26">SUMPRODUCT(H26:H274*1.2, I26:I274)</f>
        <v>243927.91200000007</v>
      </c>
      <c r="U26" cm="1">
        <f t="array" ref="U26">SUMPRODUCT(H26:H274, I26:I274*0.9)</f>
        <v>182945.93399999989</v>
      </c>
      <c r="V26" cm="1">
        <f t="array" ref="V26">SUMPRODUCT((H26:H274*1.15)*(I26:I274*0.95))</f>
        <v>222076.03655000022</v>
      </c>
      <c r="W26">
        <f>MONTH(Table1[[#This Row],[Date]])</f>
        <v>5</v>
      </c>
    </row>
    <row r="27" spans="1:23" ht="15.75" customHeight="1" x14ac:dyDescent="0.3">
      <c r="A27" s="4" t="s">
        <v>112</v>
      </c>
      <c r="B27" s="5">
        <v>45424</v>
      </c>
      <c r="C27" s="4" t="s">
        <v>70</v>
      </c>
      <c r="D27" s="4" t="s">
        <v>71</v>
      </c>
      <c r="E27" s="4" t="s">
        <v>107</v>
      </c>
      <c r="F27" s="4" t="s">
        <v>108</v>
      </c>
      <c r="G27" s="4" t="s">
        <v>48</v>
      </c>
      <c r="H27" s="4">
        <v>5</v>
      </c>
      <c r="I27" s="4">
        <v>299.99</v>
      </c>
      <c r="J27" s="4" t="s">
        <v>36</v>
      </c>
      <c r="K27" s="4" t="s">
        <v>65</v>
      </c>
      <c r="L27" s="4" t="s">
        <v>24</v>
      </c>
      <c r="M27" s="5">
        <v>45168</v>
      </c>
      <c r="N27" s="4">
        <v>1499.95</v>
      </c>
      <c r="O27" s="7">
        <f t="shared" ca="1" si="0"/>
        <v>46084.816637962962</v>
      </c>
      <c r="P27" s="8">
        <f t="shared" ca="1" si="1"/>
        <v>46084.816637962962</v>
      </c>
      <c r="Q27">
        <f t="shared" si="2"/>
        <v>202023.31000000023</v>
      </c>
      <c r="R27">
        <f t="shared" si="3"/>
        <v>6</v>
      </c>
      <c r="S27">
        <f t="shared" si="4"/>
        <v>1799.94</v>
      </c>
      <c r="T27" cm="1">
        <f t="array" ref="T27">SUMPRODUCT(H27:H275*1.2, I27:I275)</f>
        <v>242427.97200000007</v>
      </c>
      <c r="U27" cm="1">
        <f t="array" ref="U27">SUMPRODUCT(H27:H275, I27:I275*0.9)</f>
        <v>181820.9789999999</v>
      </c>
      <c r="V27" cm="1">
        <f t="array" ref="V27">SUMPRODUCT((H27:H275*1.15)*(I27:I275*0.95))</f>
        <v>220710.46617500024</v>
      </c>
      <c r="W27">
        <f>MONTH(Table1[[#This Row],[Date]])</f>
        <v>5</v>
      </c>
    </row>
    <row r="28" spans="1:23" ht="15.75" customHeight="1" x14ac:dyDescent="0.3">
      <c r="A28" s="4" t="s">
        <v>113</v>
      </c>
      <c r="B28" s="5">
        <v>45424</v>
      </c>
      <c r="C28" s="4" t="s">
        <v>114</v>
      </c>
      <c r="D28" s="4" t="s">
        <v>115</v>
      </c>
      <c r="E28" s="4" t="s">
        <v>116</v>
      </c>
      <c r="F28" s="4" t="s">
        <v>117</v>
      </c>
      <c r="G28" s="4" t="s">
        <v>35</v>
      </c>
      <c r="H28" s="4">
        <v>3</v>
      </c>
      <c r="I28" s="4">
        <v>79.989999999999995</v>
      </c>
      <c r="J28" s="4" t="s">
        <v>36</v>
      </c>
      <c r="K28" s="4" t="s">
        <v>65</v>
      </c>
      <c r="L28" s="4" t="s">
        <v>29</v>
      </c>
      <c r="M28" s="5">
        <v>45012</v>
      </c>
      <c r="N28" s="4">
        <v>239.97</v>
      </c>
      <c r="O28" s="7">
        <f t="shared" ca="1" si="0"/>
        <v>46084.816637962962</v>
      </c>
      <c r="P28" s="8">
        <f t="shared" ca="1" si="1"/>
        <v>46084.816637962962</v>
      </c>
      <c r="Q28">
        <f t="shared" si="2"/>
        <v>200523.36000000022</v>
      </c>
      <c r="R28">
        <f t="shared" si="3"/>
        <v>3.5999999999999996</v>
      </c>
      <c r="S28">
        <f t="shared" si="4"/>
        <v>287.96399999999994</v>
      </c>
      <c r="T28" cm="1">
        <f t="array" ref="T28">SUMPRODUCT(H28:H276*1.2, I28:I276)</f>
        <v>240628.03200000006</v>
      </c>
      <c r="U28" cm="1">
        <f t="array" ref="U28">SUMPRODUCT(H28:H276, I28:I276*0.9)</f>
        <v>180471.02399999992</v>
      </c>
      <c r="V28" cm="1">
        <f t="array" ref="V28">SUMPRODUCT((H28:H276*1.15)*(I28:I276*0.95))</f>
        <v>219071.7708000002</v>
      </c>
      <c r="W28">
        <f>MONTH(Table1[[#This Row],[Date]])</f>
        <v>5</v>
      </c>
    </row>
    <row r="29" spans="1:23" ht="15.75" customHeight="1" x14ac:dyDescent="0.3">
      <c r="A29" s="4" t="s">
        <v>118</v>
      </c>
      <c r="B29" s="5">
        <v>45424</v>
      </c>
      <c r="C29" s="4" t="s">
        <v>101</v>
      </c>
      <c r="D29" s="4" t="s">
        <v>102</v>
      </c>
      <c r="E29" s="4" t="s">
        <v>119</v>
      </c>
      <c r="F29" s="4" t="s">
        <v>120</v>
      </c>
      <c r="G29" s="4" t="s">
        <v>21</v>
      </c>
      <c r="H29" s="4">
        <v>5</v>
      </c>
      <c r="I29" s="4">
        <v>89.99</v>
      </c>
      <c r="J29" s="4" t="s">
        <v>22</v>
      </c>
      <c r="K29" s="4" t="s">
        <v>42</v>
      </c>
      <c r="L29" s="4" t="s">
        <v>29</v>
      </c>
      <c r="M29" s="5">
        <v>44919</v>
      </c>
      <c r="N29" s="4">
        <v>449.95</v>
      </c>
      <c r="O29" s="7">
        <f t="shared" ca="1" si="0"/>
        <v>46084.816637962962</v>
      </c>
      <c r="P29" s="8">
        <f t="shared" ca="1" si="1"/>
        <v>46084.816637962962</v>
      </c>
      <c r="Q29">
        <f t="shared" si="2"/>
        <v>200283.39000000022</v>
      </c>
      <c r="R29">
        <f t="shared" si="3"/>
        <v>6</v>
      </c>
      <c r="S29">
        <f t="shared" si="4"/>
        <v>539.93999999999994</v>
      </c>
      <c r="T29" cm="1">
        <f t="array" ref="T29">SUMPRODUCT(H29:H277*1.2, I29:I277)</f>
        <v>240340.06800000009</v>
      </c>
      <c r="U29" cm="1">
        <f t="array" ref="U29">SUMPRODUCT(H29:H277, I29:I277*0.9)</f>
        <v>180255.05099999992</v>
      </c>
      <c r="V29" cm="1">
        <f t="array" ref="V29">SUMPRODUCT((H29:H277*1.15)*(I29:I277*0.95))</f>
        <v>218809.60357500022</v>
      </c>
      <c r="W29">
        <f>MONTH(Table1[[#This Row],[Date]])</f>
        <v>5</v>
      </c>
    </row>
    <row r="30" spans="1:23" ht="15.75" customHeight="1" x14ac:dyDescent="0.3">
      <c r="A30" s="4" t="s">
        <v>121</v>
      </c>
      <c r="B30" s="5">
        <v>45425</v>
      </c>
      <c r="C30" s="4" t="s">
        <v>122</v>
      </c>
      <c r="D30" s="4" t="s">
        <v>123</v>
      </c>
      <c r="E30" s="4" t="s">
        <v>33</v>
      </c>
      <c r="F30" s="4" t="s">
        <v>34</v>
      </c>
      <c r="G30" s="4" t="s">
        <v>35</v>
      </c>
      <c r="H30" s="4">
        <v>2</v>
      </c>
      <c r="I30" s="4">
        <v>59.99</v>
      </c>
      <c r="J30" s="4" t="s">
        <v>59</v>
      </c>
      <c r="K30" s="4" t="s">
        <v>23</v>
      </c>
      <c r="L30" s="4" t="s">
        <v>38</v>
      </c>
      <c r="M30" s="5">
        <v>45214</v>
      </c>
      <c r="N30" s="4">
        <v>119.98</v>
      </c>
      <c r="O30" s="7">
        <f t="shared" ca="1" si="0"/>
        <v>46084.816637962962</v>
      </c>
      <c r="P30" s="8">
        <f t="shared" ca="1" si="1"/>
        <v>46084.816637962962</v>
      </c>
      <c r="Q30">
        <f t="shared" si="2"/>
        <v>199833.44000000024</v>
      </c>
      <c r="R30">
        <f t="shared" si="3"/>
        <v>2.4</v>
      </c>
      <c r="S30">
        <f t="shared" si="4"/>
        <v>143.976</v>
      </c>
      <c r="T30" cm="1">
        <f t="array" ref="T30">SUMPRODUCT(H30:H278*1.2, I30:I278)</f>
        <v>239800.12800000008</v>
      </c>
      <c r="U30" cm="1">
        <f t="array" ref="U30">SUMPRODUCT(H30:H278, I30:I278*0.9)</f>
        <v>179850.0959999999</v>
      </c>
      <c r="V30" cm="1">
        <f t="array" ref="V30">SUMPRODUCT((H30:H278*1.15)*(I30:I278*0.95))</f>
        <v>218318.03320000021</v>
      </c>
      <c r="W30">
        <f>MONTH(Table1[[#This Row],[Date]])</f>
        <v>5</v>
      </c>
    </row>
    <row r="31" spans="1:23" ht="15.75" customHeight="1" x14ac:dyDescent="0.3">
      <c r="A31" s="4" t="s">
        <v>124</v>
      </c>
      <c r="B31" s="5">
        <v>45427</v>
      </c>
      <c r="C31" s="4" t="s">
        <v>125</v>
      </c>
      <c r="D31" s="4" t="s">
        <v>126</v>
      </c>
      <c r="E31" s="4" t="s">
        <v>33</v>
      </c>
      <c r="F31" s="4" t="s">
        <v>34</v>
      </c>
      <c r="G31" s="4" t="s">
        <v>35</v>
      </c>
      <c r="H31" s="4">
        <v>4</v>
      </c>
      <c r="I31" s="4">
        <v>59.99</v>
      </c>
      <c r="J31" s="4" t="s">
        <v>59</v>
      </c>
      <c r="K31" s="4" t="s">
        <v>65</v>
      </c>
      <c r="L31" s="4" t="s">
        <v>38</v>
      </c>
      <c r="M31" s="5">
        <v>44867</v>
      </c>
      <c r="N31" s="4">
        <v>239.96</v>
      </c>
      <c r="O31" s="7">
        <f t="shared" ca="1" si="0"/>
        <v>46084.816637962962</v>
      </c>
      <c r="P31" s="8">
        <f t="shared" ca="1" si="1"/>
        <v>46084.816637962962</v>
      </c>
      <c r="Q31">
        <f t="shared" si="2"/>
        <v>199713.46000000022</v>
      </c>
      <c r="R31">
        <f t="shared" si="3"/>
        <v>4.8</v>
      </c>
      <c r="S31">
        <f t="shared" si="4"/>
        <v>287.952</v>
      </c>
      <c r="T31" cm="1">
        <f t="array" ref="T31">SUMPRODUCT(H31:H279*1.2, I31:I279)</f>
        <v>239656.15200000009</v>
      </c>
      <c r="U31" cm="1">
        <f t="array" ref="U31">SUMPRODUCT(H31:H279, I31:I279*0.9)</f>
        <v>179742.11399999994</v>
      </c>
      <c r="V31" cm="1">
        <f t="array" ref="V31">SUMPRODUCT((H31:H279*1.15)*(I31:I279*0.95))</f>
        <v>218186.95505000022</v>
      </c>
      <c r="W31">
        <f>MONTH(Table1[[#This Row],[Date]])</f>
        <v>5</v>
      </c>
    </row>
    <row r="32" spans="1:23" ht="15.75" customHeight="1" x14ac:dyDescent="0.3">
      <c r="A32" s="4" t="s">
        <v>127</v>
      </c>
      <c r="B32" s="5">
        <v>45427</v>
      </c>
      <c r="C32" s="4" t="s">
        <v>57</v>
      </c>
      <c r="D32" s="4" t="s">
        <v>58</v>
      </c>
      <c r="E32" s="4" t="s">
        <v>128</v>
      </c>
      <c r="F32" s="4" t="s">
        <v>129</v>
      </c>
      <c r="G32" s="4" t="s">
        <v>48</v>
      </c>
      <c r="H32" s="4">
        <v>5</v>
      </c>
      <c r="I32" s="4">
        <v>199.99</v>
      </c>
      <c r="J32" s="4" t="s">
        <v>22</v>
      </c>
      <c r="K32" s="4" t="s">
        <v>37</v>
      </c>
      <c r="L32" s="4" t="s">
        <v>38</v>
      </c>
      <c r="M32" s="5">
        <v>44412</v>
      </c>
      <c r="N32" s="4">
        <v>999.95</v>
      </c>
      <c r="O32" s="7">
        <f t="shared" ca="1" si="0"/>
        <v>46084.816637962962</v>
      </c>
      <c r="P32" s="8">
        <f t="shared" ca="1" si="1"/>
        <v>46084.816637962962</v>
      </c>
      <c r="Q32">
        <f t="shared" si="2"/>
        <v>199473.50000000023</v>
      </c>
      <c r="R32">
        <f t="shared" si="3"/>
        <v>6</v>
      </c>
      <c r="S32">
        <f t="shared" si="4"/>
        <v>1199.94</v>
      </c>
      <c r="T32" cm="1">
        <f t="array" ref="T32">SUMPRODUCT(H32:H280*1.2, I32:I280)</f>
        <v>239368.20000000007</v>
      </c>
      <c r="U32" cm="1">
        <f t="array" ref="U32">SUMPRODUCT(H32:H280, I32:I280*0.9)</f>
        <v>179526.14999999994</v>
      </c>
      <c r="V32" cm="1">
        <f t="array" ref="V32">SUMPRODUCT((H32:H280*1.15)*(I32:I280*0.95))</f>
        <v>217924.79875000019</v>
      </c>
      <c r="W32">
        <f>MONTH(Table1[[#This Row],[Date]])</f>
        <v>5</v>
      </c>
    </row>
    <row r="33" spans="1:23" ht="15.75" customHeight="1" x14ac:dyDescent="0.3">
      <c r="A33" s="4" t="s">
        <v>130</v>
      </c>
      <c r="B33" s="5">
        <v>45428</v>
      </c>
      <c r="C33" s="4" t="s">
        <v>131</v>
      </c>
      <c r="D33" s="4" t="s">
        <v>132</v>
      </c>
      <c r="E33" s="4" t="s">
        <v>46</v>
      </c>
      <c r="F33" s="4" t="s">
        <v>47</v>
      </c>
      <c r="G33" s="4" t="s">
        <v>48</v>
      </c>
      <c r="H33" s="4">
        <v>2</v>
      </c>
      <c r="I33" s="4">
        <v>149.99</v>
      </c>
      <c r="J33" s="4" t="s">
        <v>28</v>
      </c>
      <c r="K33" s="4" t="s">
        <v>52</v>
      </c>
      <c r="L33" s="4" t="s">
        <v>24</v>
      </c>
      <c r="M33" s="5">
        <v>44823</v>
      </c>
      <c r="N33" s="4">
        <v>299.98</v>
      </c>
      <c r="O33" s="7">
        <f t="shared" ca="1" si="0"/>
        <v>46084.816637962962</v>
      </c>
      <c r="P33" s="8">
        <f t="shared" ca="1" si="1"/>
        <v>46084.816637962962</v>
      </c>
      <c r="Q33">
        <f t="shared" si="2"/>
        <v>198473.55000000025</v>
      </c>
      <c r="R33">
        <f t="shared" si="3"/>
        <v>2.4</v>
      </c>
      <c r="S33">
        <f t="shared" si="4"/>
        <v>359.976</v>
      </c>
      <c r="T33" cm="1">
        <f t="array" ref="T33">SUMPRODUCT(H33:H281*1.2, I33:I281)</f>
        <v>238168.2600000001</v>
      </c>
      <c r="U33" cm="1">
        <f t="array" ref="U33">SUMPRODUCT(H33:H281, I33:I281*0.9)</f>
        <v>178626.19499999995</v>
      </c>
      <c r="V33" cm="1">
        <f t="array" ref="V33">SUMPRODUCT((H33:H281*1.15)*(I33:I281*0.95))</f>
        <v>216832.35337500021</v>
      </c>
      <c r="W33">
        <f>MONTH(Table1[[#This Row],[Date]])</f>
        <v>5</v>
      </c>
    </row>
    <row r="34" spans="1:23" ht="15.75" customHeight="1" x14ac:dyDescent="0.3">
      <c r="A34" s="4" t="s">
        <v>133</v>
      </c>
      <c r="B34" s="5">
        <v>45430</v>
      </c>
      <c r="C34" s="4" t="s">
        <v>134</v>
      </c>
      <c r="D34" s="4" t="s">
        <v>135</v>
      </c>
      <c r="E34" s="4" t="s">
        <v>46</v>
      </c>
      <c r="F34" s="4" t="s">
        <v>47</v>
      </c>
      <c r="G34" s="4" t="s">
        <v>48</v>
      </c>
      <c r="H34" s="4">
        <v>3</v>
      </c>
      <c r="I34" s="4">
        <v>149.99</v>
      </c>
      <c r="J34" s="4" t="s">
        <v>28</v>
      </c>
      <c r="K34" s="4" t="s">
        <v>52</v>
      </c>
      <c r="L34" s="4" t="s">
        <v>29</v>
      </c>
      <c r="M34" s="5">
        <v>45068</v>
      </c>
      <c r="N34" s="4">
        <v>449.97</v>
      </c>
      <c r="O34" s="7">
        <f t="shared" ca="1" si="0"/>
        <v>46084.816637962962</v>
      </c>
      <c r="P34" s="8">
        <f t="shared" ca="1" si="1"/>
        <v>46084.816637962962</v>
      </c>
      <c r="Q34">
        <f t="shared" si="2"/>
        <v>198173.57000000024</v>
      </c>
      <c r="R34">
        <f t="shared" si="3"/>
        <v>3.5999999999999996</v>
      </c>
      <c r="S34">
        <f t="shared" si="4"/>
        <v>539.96399999999994</v>
      </c>
      <c r="T34" cm="1">
        <f t="array" ref="T34">SUMPRODUCT(H34:H282*1.2, I34:I282)</f>
        <v>237808.28400000007</v>
      </c>
      <c r="U34" cm="1">
        <f t="array" ref="U34">SUMPRODUCT(H34:H282, I34:I282*0.9)</f>
        <v>178356.21299999993</v>
      </c>
      <c r="V34" cm="1">
        <f t="array" ref="V34">SUMPRODUCT((H34:H282*1.15)*(I34:I282*0.95))</f>
        <v>216504.6252250002</v>
      </c>
      <c r="W34">
        <f>MONTH(Table1[[#This Row],[Date]])</f>
        <v>5</v>
      </c>
    </row>
    <row r="35" spans="1:23" ht="15.75" customHeight="1" x14ac:dyDescent="0.3">
      <c r="A35" s="4" t="s">
        <v>136</v>
      </c>
      <c r="B35" s="5">
        <v>45432</v>
      </c>
      <c r="C35" s="4" t="s">
        <v>31</v>
      </c>
      <c r="D35" s="4" t="s">
        <v>32</v>
      </c>
      <c r="E35" s="4" t="s">
        <v>63</v>
      </c>
      <c r="F35" s="4" t="s">
        <v>64</v>
      </c>
      <c r="G35" s="4" t="s">
        <v>21</v>
      </c>
      <c r="H35" s="4">
        <v>1</v>
      </c>
      <c r="I35" s="4">
        <v>899.99</v>
      </c>
      <c r="J35" s="4" t="s">
        <v>28</v>
      </c>
      <c r="K35" s="4" t="s">
        <v>52</v>
      </c>
      <c r="L35" s="4" t="s">
        <v>29</v>
      </c>
      <c r="M35" s="5">
        <v>44578</v>
      </c>
      <c r="N35" s="4">
        <v>899.99</v>
      </c>
      <c r="O35" s="7">
        <f t="shared" ca="1" si="0"/>
        <v>46084.816637962962</v>
      </c>
      <c r="P35" s="8">
        <f t="shared" ca="1" si="1"/>
        <v>46084.816637962962</v>
      </c>
      <c r="Q35">
        <f t="shared" si="2"/>
        <v>197723.60000000024</v>
      </c>
      <c r="R35">
        <f t="shared" si="3"/>
        <v>1.2</v>
      </c>
      <c r="S35">
        <f t="shared" si="4"/>
        <v>1079.9880000000001</v>
      </c>
      <c r="T35" cm="1">
        <f t="array" ref="T35">SUMPRODUCT(H35:H283*1.2, I35:I283)</f>
        <v>237268.32000000009</v>
      </c>
      <c r="U35" cm="1">
        <f t="array" ref="U35">SUMPRODUCT(H35:H283, I35:I283*0.9)</f>
        <v>177951.23999999993</v>
      </c>
      <c r="V35" cm="1">
        <f t="array" ref="V35">SUMPRODUCT((H35:H283*1.15)*(I35:I283*0.95))</f>
        <v>216013.0330000002</v>
      </c>
      <c r="W35">
        <f>MONTH(Table1[[#This Row],[Date]])</f>
        <v>5</v>
      </c>
    </row>
    <row r="36" spans="1:23" ht="15.75" customHeight="1" x14ac:dyDescent="0.3">
      <c r="A36" s="4" t="s">
        <v>137</v>
      </c>
      <c r="B36" s="5">
        <v>45434</v>
      </c>
      <c r="C36" s="4" t="s">
        <v>101</v>
      </c>
      <c r="D36" s="4" t="s">
        <v>102</v>
      </c>
      <c r="E36" s="4" t="s">
        <v>107</v>
      </c>
      <c r="F36" s="4" t="s">
        <v>108</v>
      </c>
      <c r="G36" s="4" t="s">
        <v>48</v>
      </c>
      <c r="H36" s="4">
        <v>3</v>
      </c>
      <c r="I36" s="4">
        <v>299.99</v>
      </c>
      <c r="J36" s="4" t="s">
        <v>28</v>
      </c>
      <c r="K36" s="4" t="s">
        <v>65</v>
      </c>
      <c r="L36" s="4" t="s">
        <v>24</v>
      </c>
      <c r="M36" s="5">
        <v>44824</v>
      </c>
      <c r="N36" s="4">
        <v>899.97</v>
      </c>
      <c r="O36" s="7">
        <f t="shared" ca="1" si="0"/>
        <v>46084.816637962962</v>
      </c>
      <c r="P36" s="8">
        <f t="shared" ca="1" si="1"/>
        <v>46084.816637962962</v>
      </c>
      <c r="Q36">
        <f t="shared" si="2"/>
        <v>196823.61000000022</v>
      </c>
      <c r="R36">
        <f t="shared" si="3"/>
        <v>3.5999999999999996</v>
      </c>
      <c r="S36">
        <f t="shared" si="4"/>
        <v>1079.9639999999999</v>
      </c>
      <c r="T36" cm="1">
        <f t="array" ref="T36">SUMPRODUCT(H36:H284*1.2, I36:I284)</f>
        <v>236188.33200000008</v>
      </c>
      <c r="U36" cm="1">
        <f t="array" ref="U36">SUMPRODUCT(H36:H284, I36:I284*0.9)</f>
        <v>177141.24899999995</v>
      </c>
      <c r="V36" cm="1">
        <f t="array" ref="V36">SUMPRODUCT((H36:H284*1.15)*(I36:I284*0.95))</f>
        <v>215029.79392500021</v>
      </c>
      <c r="W36">
        <f>MONTH(Table1[[#This Row],[Date]])</f>
        <v>5</v>
      </c>
    </row>
    <row r="37" spans="1:23" ht="15.75" customHeight="1" x14ac:dyDescent="0.3">
      <c r="A37" s="4" t="s">
        <v>138</v>
      </c>
      <c r="B37" s="5">
        <v>45435</v>
      </c>
      <c r="C37" s="4" t="s">
        <v>131</v>
      </c>
      <c r="D37" s="4" t="s">
        <v>132</v>
      </c>
      <c r="E37" s="4" t="s">
        <v>116</v>
      </c>
      <c r="F37" s="4" t="s">
        <v>117</v>
      </c>
      <c r="G37" s="4" t="s">
        <v>35</v>
      </c>
      <c r="H37" s="4">
        <v>3</v>
      </c>
      <c r="I37" s="4">
        <v>79.989999999999995</v>
      </c>
      <c r="J37" s="4" t="s">
        <v>22</v>
      </c>
      <c r="K37" s="4" t="s">
        <v>37</v>
      </c>
      <c r="L37" s="4" t="s">
        <v>24</v>
      </c>
      <c r="M37" s="5">
        <v>45046</v>
      </c>
      <c r="N37" s="4">
        <v>239.97</v>
      </c>
      <c r="O37" s="7">
        <f t="shared" ca="1" si="0"/>
        <v>46084.816637962962</v>
      </c>
      <c r="P37" s="8">
        <f t="shared" ca="1" si="1"/>
        <v>46084.816637962962</v>
      </c>
      <c r="Q37">
        <f t="shared" si="2"/>
        <v>195923.64000000022</v>
      </c>
      <c r="R37">
        <f t="shared" si="3"/>
        <v>3.5999999999999996</v>
      </c>
      <c r="S37">
        <f t="shared" si="4"/>
        <v>287.96399999999994</v>
      </c>
      <c r="T37" cm="1">
        <f t="array" ref="T37">SUMPRODUCT(H37:H285*1.2, I37:I285)</f>
        <v>235108.36800000007</v>
      </c>
      <c r="U37" cm="1">
        <f t="array" ref="U37">SUMPRODUCT(H37:H285, I37:I285*0.9)</f>
        <v>176331.27599999993</v>
      </c>
      <c r="V37" cm="1">
        <f t="array" ref="V37">SUMPRODUCT((H37:H285*1.15)*(I37:I285*0.95))</f>
        <v>214046.57670000021</v>
      </c>
      <c r="W37">
        <f>MONTH(Table1[[#This Row],[Date]])</f>
        <v>5</v>
      </c>
    </row>
    <row r="38" spans="1:23" ht="15.75" customHeight="1" x14ac:dyDescent="0.3">
      <c r="A38" s="4" t="s">
        <v>139</v>
      </c>
      <c r="B38" s="5">
        <v>45438</v>
      </c>
      <c r="C38" s="4" t="s">
        <v>140</v>
      </c>
      <c r="D38" s="4" t="s">
        <v>141</v>
      </c>
      <c r="E38" s="4" t="s">
        <v>128</v>
      </c>
      <c r="F38" s="4" t="s">
        <v>129</v>
      </c>
      <c r="G38" s="4" t="s">
        <v>48</v>
      </c>
      <c r="H38" s="4">
        <v>3</v>
      </c>
      <c r="I38" s="4">
        <v>199.99</v>
      </c>
      <c r="J38" s="4" t="s">
        <v>28</v>
      </c>
      <c r="K38" s="4" t="s">
        <v>42</v>
      </c>
      <c r="L38" s="4" t="s">
        <v>29</v>
      </c>
      <c r="M38" s="5">
        <v>45292</v>
      </c>
      <c r="N38" s="4">
        <v>599.97</v>
      </c>
      <c r="O38" s="7">
        <f t="shared" ca="1" si="0"/>
        <v>46084.816637962962</v>
      </c>
      <c r="P38" s="8">
        <f t="shared" ca="1" si="1"/>
        <v>46084.816637962962</v>
      </c>
      <c r="Q38">
        <f t="shared" si="2"/>
        <v>195683.67000000022</v>
      </c>
      <c r="R38">
        <f t="shared" si="3"/>
        <v>3.5999999999999996</v>
      </c>
      <c r="S38">
        <f t="shared" si="4"/>
        <v>719.96399999999994</v>
      </c>
      <c r="T38" cm="1">
        <f t="array" ref="T38">SUMPRODUCT(H38:H286*1.2, I38:I286)</f>
        <v>234820.40400000007</v>
      </c>
      <c r="U38" cm="1">
        <f t="array" ref="U38">SUMPRODUCT(H38:H286, I38:I286*0.9)</f>
        <v>176115.30299999993</v>
      </c>
      <c r="V38" cm="1">
        <f t="array" ref="V38">SUMPRODUCT((H38:H286*1.15)*(I38:I286*0.95))</f>
        <v>213784.4094750002</v>
      </c>
      <c r="W38">
        <f>MONTH(Table1[[#This Row],[Date]])</f>
        <v>5</v>
      </c>
    </row>
    <row r="39" spans="1:23" ht="15.75" customHeight="1" x14ac:dyDescent="0.3">
      <c r="A39" s="4" t="s">
        <v>142</v>
      </c>
      <c r="B39" s="5">
        <v>45440</v>
      </c>
      <c r="C39" s="4" t="s">
        <v>143</v>
      </c>
      <c r="D39" s="4" t="s">
        <v>144</v>
      </c>
      <c r="E39" s="4" t="s">
        <v>82</v>
      </c>
      <c r="F39" s="4" t="s">
        <v>83</v>
      </c>
      <c r="G39" s="4" t="s">
        <v>21</v>
      </c>
      <c r="H39" s="4">
        <v>5</v>
      </c>
      <c r="I39" s="4">
        <v>699.99</v>
      </c>
      <c r="J39" s="4" t="s">
        <v>36</v>
      </c>
      <c r="K39" s="4" t="s">
        <v>52</v>
      </c>
      <c r="L39" s="4" t="s">
        <v>38</v>
      </c>
      <c r="M39" s="5">
        <v>44407</v>
      </c>
      <c r="N39" s="4">
        <v>3499.95</v>
      </c>
      <c r="O39" s="7">
        <f t="shared" ca="1" si="0"/>
        <v>46084.816637962962</v>
      </c>
      <c r="P39" s="8">
        <f t="shared" ca="1" si="1"/>
        <v>46084.816637962962</v>
      </c>
      <c r="Q39">
        <f t="shared" si="2"/>
        <v>195083.70000000022</v>
      </c>
      <c r="R39">
        <f t="shared" si="3"/>
        <v>6</v>
      </c>
      <c r="S39">
        <f t="shared" si="4"/>
        <v>4199.9400000000005</v>
      </c>
      <c r="T39" cm="1">
        <f t="array" ref="T39">SUMPRODUCT(H39:H287*1.2, I39:I287)</f>
        <v>234100.44000000009</v>
      </c>
      <c r="U39" cm="1">
        <f t="array" ref="U39">SUMPRODUCT(H39:H287, I39:I287*0.9)</f>
        <v>175575.32999999993</v>
      </c>
      <c r="V39" cm="1">
        <f t="array" ref="V39">SUMPRODUCT((H39:H287*1.15)*(I39:I287*0.95))</f>
        <v>213128.94225000023</v>
      </c>
      <c r="W39">
        <f>MONTH(Table1[[#This Row],[Date]])</f>
        <v>5</v>
      </c>
    </row>
    <row r="40" spans="1:23" ht="15.75" customHeight="1" x14ac:dyDescent="0.3">
      <c r="A40" s="4" t="s">
        <v>145</v>
      </c>
      <c r="B40" s="5">
        <v>45441</v>
      </c>
      <c r="C40" s="4" t="s">
        <v>146</v>
      </c>
      <c r="D40" s="4" t="s">
        <v>147</v>
      </c>
      <c r="E40" s="4" t="s">
        <v>119</v>
      </c>
      <c r="F40" s="4" t="s">
        <v>120</v>
      </c>
      <c r="G40" s="4" t="s">
        <v>21</v>
      </c>
      <c r="H40" s="4">
        <v>3</v>
      </c>
      <c r="I40" s="4">
        <v>89.99</v>
      </c>
      <c r="J40" s="4" t="s">
        <v>36</v>
      </c>
      <c r="K40" s="4" t="s">
        <v>23</v>
      </c>
      <c r="L40" s="4" t="s">
        <v>29</v>
      </c>
      <c r="M40" s="5">
        <v>45120</v>
      </c>
      <c r="N40" s="4">
        <v>269.97000000000003</v>
      </c>
      <c r="O40" s="7">
        <f t="shared" ca="1" si="0"/>
        <v>46084.816637962962</v>
      </c>
      <c r="P40" s="8">
        <f t="shared" ca="1" si="1"/>
        <v>46084.816637962962</v>
      </c>
      <c r="Q40">
        <f t="shared" si="2"/>
        <v>191583.75000000017</v>
      </c>
      <c r="R40">
        <f t="shared" si="3"/>
        <v>3.5999999999999996</v>
      </c>
      <c r="S40">
        <f t="shared" si="4"/>
        <v>323.96399999999994</v>
      </c>
      <c r="T40" cm="1">
        <f t="array" ref="T40">SUMPRODUCT(H40:H288*1.2, I40:I288)</f>
        <v>229900.50000000012</v>
      </c>
      <c r="U40" cm="1">
        <f t="array" ref="U40">SUMPRODUCT(H40:H288, I40:I288*0.9)</f>
        <v>172425.37499999991</v>
      </c>
      <c r="V40" cm="1">
        <f t="array" ref="V40">SUMPRODUCT((H40:H288*1.15)*(I40:I288*0.95))</f>
        <v>209305.24687500016</v>
      </c>
      <c r="W40">
        <f>MONTH(Table1[[#This Row],[Date]])</f>
        <v>5</v>
      </c>
    </row>
    <row r="41" spans="1:23" ht="15.75" customHeight="1" x14ac:dyDescent="0.3">
      <c r="A41" s="4" t="s">
        <v>148</v>
      </c>
      <c r="B41" s="5">
        <v>45443</v>
      </c>
      <c r="C41" s="4" t="s">
        <v>149</v>
      </c>
      <c r="D41" s="4" t="s">
        <v>150</v>
      </c>
      <c r="E41" s="4" t="s">
        <v>116</v>
      </c>
      <c r="F41" s="4" t="s">
        <v>117</v>
      </c>
      <c r="G41" s="4" t="s">
        <v>35</v>
      </c>
      <c r="H41" s="4">
        <v>1</v>
      </c>
      <c r="I41" s="4">
        <v>79.989999999999995</v>
      </c>
      <c r="J41" s="4" t="s">
        <v>22</v>
      </c>
      <c r="K41" s="4" t="s">
        <v>42</v>
      </c>
      <c r="L41" s="4" t="s">
        <v>38</v>
      </c>
      <c r="M41" s="5">
        <v>44917</v>
      </c>
      <c r="N41" s="4">
        <v>79.989999999999995</v>
      </c>
      <c r="O41" s="7">
        <f t="shared" ca="1" si="0"/>
        <v>46084.816637962962</v>
      </c>
      <c r="P41" s="8">
        <f t="shared" ca="1" si="1"/>
        <v>46084.816637962962</v>
      </c>
      <c r="Q41">
        <f t="shared" si="2"/>
        <v>191313.78000000017</v>
      </c>
      <c r="R41">
        <f t="shared" si="3"/>
        <v>1.2</v>
      </c>
      <c r="S41">
        <f t="shared" si="4"/>
        <v>95.987999999999985</v>
      </c>
      <c r="T41" cm="1">
        <f t="array" ref="T41">SUMPRODUCT(H41:H289*1.2, I41:I289)</f>
        <v>229576.53600000014</v>
      </c>
      <c r="U41" cm="1">
        <f t="array" ref="U41">SUMPRODUCT(H41:H289, I41:I289*0.9)</f>
        <v>172182.40199999991</v>
      </c>
      <c r="V41" cm="1">
        <f t="array" ref="V41">SUMPRODUCT((H41:H289*1.15)*(I41:I289*0.95))</f>
        <v>209010.30465000015</v>
      </c>
      <c r="W41">
        <f>MONTH(Table1[[#This Row],[Date]])</f>
        <v>5</v>
      </c>
    </row>
    <row r="42" spans="1:23" ht="15.75" customHeight="1" x14ac:dyDescent="0.3">
      <c r="A42" s="4" t="s">
        <v>151</v>
      </c>
      <c r="B42" s="5">
        <v>45444</v>
      </c>
      <c r="C42" s="4" t="s">
        <v>152</v>
      </c>
      <c r="D42" s="4" t="s">
        <v>153</v>
      </c>
      <c r="E42" s="4" t="s">
        <v>33</v>
      </c>
      <c r="F42" s="4" t="s">
        <v>34</v>
      </c>
      <c r="G42" s="4" t="s">
        <v>35</v>
      </c>
      <c r="H42" s="4">
        <v>2</v>
      </c>
      <c r="I42" s="4">
        <v>59.99</v>
      </c>
      <c r="J42" s="4" t="s">
        <v>22</v>
      </c>
      <c r="K42" s="4" t="s">
        <v>52</v>
      </c>
      <c r="L42" s="4" t="s">
        <v>24</v>
      </c>
      <c r="M42" s="5">
        <v>45390</v>
      </c>
      <c r="N42" s="4">
        <v>119.98</v>
      </c>
      <c r="O42" s="7">
        <f t="shared" ca="1" si="0"/>
        <v>46084.816637962962</v>
      </c>
      <c r="P42" s="8">
        <f t="shared" ca="1" si="1"/>
        <v>46084.816637962962</v>
      </c>
      <c r="Q42">
        <f t="shared" si="2"/>
        <v>191233.79000000018</v>
      </c>
      <c r="R42">
        <f t="shared" si="3"/>
        <v>2.4</v>
      </c>
      <c r="S42">
        <f t="shared" si="4"/>
        <v>143.976</v>
      </c>
      <c r="T42" cm="1">
        <f t="array" ref="T42">SUMPRODUCT(H42:H290*1.2, I42:I290)</f>
        <v>229480.54800000013</v>
      </c>
      <c r="U42" cm="1">
        <f t="array" ref="U42">SUMPRODUCT(H42:H290, I42:I290*0.9)</f>
        <v>172110.41099999993</v>
      </c>
      <c r="V42" cm="1">
        <f t="array" ref="V42">SUMPRODUCT((H42:H290*1.15)*(I42:I290*0.95))</f>
        <v>208922.91557500014</v>
      </c>
      <c r="W42">
        <f>MONTH(Table1[[#This Row],[Date]])</f>
        <v>6</v>
      </c>
    </row>
    <row r="43" spans="1:23" ht="15.75" customHeight="1" x14ac:dyDescent="0.3">
      <c r="A43" s="4" t="s">
        <v>154</v>
      </c>
      <c r="B43" s="5">
        <v>45444</v>
      </c>
      <c r="C43" s="4" t="s">
        <v>57</v>
      </c>
      <c r="D43" s="4" t="s">
        <v>58</v>
      </c>
      <c r="E43" s="4" t="s">
        <v>119</v>
      </c>
      <c r="F43" s="4" t="s">
        <v>120</v>
      </c>
      <c r="G43" s="4" t="s">
        <v>21</v>
      </c>
      <c r="H43" s="4">
        <v>1</v>
      </c>
      <c r="I43" s="4">
        <v>89.99</v>
      </c>
      <c r="J43" s="4" t="s">
        <v>22</v>
      </c>
      <c r="K43" s="4" t="s">
        <v>42</v>
      </c>
      <c r="L43" s="4" t="s">
        <v>24</v>
      </c>
      <c r="M43" s="5">
        <v>45141</v>
      </c>
      <c r="N43" s="4">
        <v>89.99</v>
      </c>
      <c r="O43" s="7">
        <f t="shared" ca="1" si="0"/>
        <v>46084.816637962962</v>
      </c>
      <c r="P43" s="8">
        <f t="shared" ca="1" si="1"/>
        <v>46084.816637962962</v>
      </c>
      <c r="Q43">
        <f t="shared" si="2"/>
        <v>191113.81000000017</v>
      </c>
      <c r="R43">
        <f t="shared" si="3"/>
        <v>1.2</v>
      </c>
      <c r="S43">
        <f t="shared" si="4"/>
        <v>107.98799999999999</v>
      </c>
      <c r="T43" cm="1">
        <f t="array" ref="T43">SUMPRODUCT(H43:H291*1.2, I43:I291)</f>
        <v>229336.57200000013</v>
      </c>
      <c r="U43" cm="1">
        <f t="array" ref="U43">SUMPRODUCT(H43:H291, I43:I291*0.9)</f>
        <v>172002.42899999992</v>
      </c>
      <c r="V43" cm="1">
        <f t="array" ref="V43">SUMPRODUCT((H43:H291*1.15)*(I43:I291*0.95))</f>
        <v>208791.83742500015</v>
      </c>
      <c r="W43">
        <f>MONTH(Table1[[#This Row],[Date]])</f>
        <v>6</v>
      </c>
    </row>
    <row r="44" spans="1:23" ht="15.75" customHeight="1" x14ac:dyDescent="0.3">
      <c r="A44" s="4" t="s">
        <v>155</v>
      </c>
      <c r="B44" s="5">
        <v>45446</v>
      </c>
      <c r="C44" s="4" t="s">
        <v>156</v>
      </c>
      <c r="D44" s="4" t="s">
        <v>157</v>
      </c>
      <c r="E44" s="4" t="s">
        <v>119</v>
      </c>
      <c r="F44" s="4" t="s">
        <v>120</v>
      </c>
      <c r="G44" s="4" t="s">
        <v>21</v>
      </c>
      <c r="H44" s="4">
        <v>5</v>
      </c>
      <c r="I44" s="4">
        <v>89.99</v>
      </c>
      <c r="J44" s="4" t="s">
        <v>28</v>
      </c>
      <c r="K44" s="4" t="s">
        <v>65</v>
      </c>
      <c r="L44" s="4" t="s">
        <v>38</v>
      </c>
      <c r="M44" s="5">
        <v>44587</v>
      </c>
      <c r="N44" s="4">
        <v>449.95</v>
      </c>
      <c r="O44" s="7">
        <f t="shared" ca="1" si="0"/>
        <v>46084.816637962962</v>
      </c>
      <c r="P44" s="8">
        <f t="shared" ca="1" si="1"/>
        <v>46084.816637962962</v>
      </c>
      <c r="Q44">
        <f t="shared" si="2"/>
        <v>191023.82000000018</v>
      </c>
      <c r="R44">
        <f t="shared" si="3"/>
        <v>6</v>
      </c>
      <c r="S44">
        <f t="shared" si="4"/>
        <v>539.93999999999994</v>
      </c>
      <c r="T44" cm="1">
        <f t="array" ref="T44">SUMPRODUCT(H44:H292*1.2, I44:I292)</f>
        <v>229228.58400000012</v>
      </c>
      <c r="U44" cm="1">
        <f t="array" ref="U44">SUMPRODUCT(H44:H292, I44:I292*0.9)</f>
        <v>171921.43799999994</v>
      </c>
      <c r="V44" cm="1">
        <f t="array" ref="V44">SUMPRODUCT((H44:H292*1.15)*(I44:I292*0.95))</f>
        <v>208693.52335000015</v>
      </c>
      <c r="W44">
        <f>MONTH(Table1[[#This Row],[Date]])</f>
        <v>6</v>
      </c>
    </row>
    <row r="45" spans="1:23" ht="15.75" customHeight="1" x14ac:dyDescent="0.3">
      <c r="A45" s="4" t="s">
        <v>158</v>
      </c>
      <c r="B45" s="5">
        <v>45449</v>
      </c>
      <c r="C45" s="4" t="s">
        <v>26</v>
      </c>
      <c r="D45" s="4" t="s">
        <v>27</v>
      </c>
      <c r="E45" s="4" t="s">
        <v>19</v>
      </c>
      <c r="F45" s="4" t="s">
        <v>20</v>
      </c>
      <c r="G45" s="4" t="s">
        <v>21</v>
      </c>
      <c r="H45" s="4">
        <v>5</v>
      </c>
      <c r="I45" s="4">
        <v>249.99</v>
      </c>
      <c r="J45" s="4" t="s">
        <v>28</v>
      </c>
      <c r="K45" s="4" t="s">
        <v>65</v>
      </c>
      <c r="L45" s="4" t="s">
        <v>38</v>
      </c>
      <c r="M45" s="5">
        <v>44707</v>
      </c>
      <c r="N45" s="4">
        <v>1249.95</v>
      </c>
      <c r="O45" s="7">
        <f t="shared" ca="1" si="0"/>
        <v>46084.816637962962</v>
      </c>
      <c r="P45" s="8">
        <f t="shared" ca="1" si="1"/>
        <v>46084.816637962962</v>
      </c>
      <c r="Q45">
        <f t="shared" si="2"/>
        <v>190573.8700000002</v>
      </c>
      <c r="R45">
        <f t="shared" si="3"/>
        <v>6</v>
      </c>
      <c r="S45">
        <f t="shared" si="4"/>
        <v>1499.94</v>
      </c>
      <c r="T45" cm="1">
        <f t="array" ref="T45">SUMPRODUCT(H45:H293*1.2, I45:I293)</f>
        <v>228688.64400000012</v>
      </c>
      <c r="U45" cm="1">
        <f t="array" ref="U45">SUMPRODUCT(H45:H293, I45:I293*0.9)</f>
        <v>171516.48299999992</v>
      </c>
      <c r="V45" cm="1">
        <f t="array" ref="V45">SUMPRODUCT((H45:H293*1.15)*(I45:I293*0.95))</f>
        <v>208201.95297500014</v>
      </c>
      <c r="W45">
        <f>MONTH(Table1[[#This Row],[Date]])</f>
        <v>6</v>
      </c>
    </row>
    <row r="46" spans="1:23" ht="15.75" customHeight="1" x14ac:dyDescent="0.3">
      <c r="A46" s="4" t="s">
        <v>159</v>
      </c>
      <c r="B46" s="5">
        <v>45449</v>
      </c>
      <c r="C46" s="4" t="s">
        <v>160</v>
      </c>
      <c r="D46" s="4" t="s">
        <v>161</v>
      </c>
      <c r="E46" s="4" t="s">
        <v>119</v>
      </c>
      <c r="F46" s="4" t="s">
        <v>120</v>
      </c>
      <c r="G46" s="4" t="s">
        <v>21</v>
      </c>
      <c r="H46" s="4">
        <v>1</v>
      </c>
      <c r="I46" s="4">
        <v>89.99</v>
      </c>
      <c r="J46" s="4" t="s">
        <v>28</v>
      </c>
      <c r="K46" s="4" t="s">
        <v>37</v>
      </c>
      <c r="L46" s="4" t="s">
        <v>38</v>
      </c>
      <c r="M46" s="5">
        <v>44582</v>
      </c>
      <c r="N46" s="4">
        <v>89.99</v>
      </c>
      <c r="O46" s="7">
        <f t="shared" ca="1" si="0"/>
        <v>46084.816637962962</v>
      </c>
      <c r="P46" s="8">
        <f t="shared" ca="1" si="1"/>
        <v>46084.816637962962</v>
      </c>
      <c r="Q46">
        <f t="shared" si="2"/>
        <v>189323.92000000022</v>
      </c>
      <c r="R46">
        <f t="shared" si="3"/>
        <v>1.2</v>
      </c>
      <c r="S46">
        <f t="shared" si="4"/>
        <v>107.98799999999999</v>
      </c>
      <c r="T46" cm="1">
        <f t="array" ref="T46">SUMPRODUCT(H46:H294*1.2, I46:I294)</f>
        <v>227188.70400000011</v>
      </c>
      <c r="U46" cm="1">
        <f t="array" ref="U46">SUMPRODUCT(H46:H294, I46:I294*0.9)</f>
        <v>170391.5279999999</v>
      </c>
      <c r="V46" cm="1">
        <f t="array" ref="V46">SUMPRODUCT((H46:H294*1.15)*(I46:I294*0.95))</f>
        <v>206836.38260000013</v>
      </c>
      <c r="W46">
        <f>MONTH(Table1[[#This Row],[Date]])</f>
        <v>6</v>
      </c>
    </row>
    <row r="47" spans="1:23" ht="15.75" customHeight="1" x14ac:dyDescent="0.3">
      <c r="A47" s="4" t="s">
        <v>162</v>
      </c>
      <c r="B47" s="5">
        <v>45450</v>
      </c>
      <c r="C47" s="4" t="s">
        <v>44</v>
      </c>
      <c r="D47" s="4" t="s">
        <v>45</v>
      </c>
      <c r="E47" s="4" t="s">
        <v>46</v>
      </c>
      <c r="F47" s="4" t="s">
        <v>47</v>
      </c>
      <c r="G47" s="4" t="s">
        <v>48</v>
      </c>
      <c r="H47" s="4">
        <v>2</v>
      </c>
      <c r="I47" s="4">
        <v>149.99</v>
      </c>
      <c r="J47" s="4" t="s">
        <v>22</v>
      </c>
      <c r="K47" s="4" t="s">
        <v>65</v>
      </c>
      <c r="L47" s="4" t="s">
        <v>29</v>
      </c>
      <c r="M47" s="5">
        <v>44645</v>
      </c>
      <c r="N47" s="4">
        <v>299.98</v>
      </c>
      <c r="O47" s="7">
        <f t="shared" ca="1" si="0"/>
        <v>46084.816637962962</v>
      </c>
      <c r="P47" s="8">
        <f t="shared" ca="1" si="1"/>
        <v>46084.816637962962</v>
      </c>
      <c r="Q47">
        <f t="shared" si="2"/>
        <v>189233.93000000023</v>
      </c>
      <c r="R47">
        <f t="shared" si="3"/>
        <v>2.4</v>
      </c>
      <c r="S47">
        <f t="shared" si="4"/>
        <v>359.976</v>
      </c>
      <c r="T47" cm="1">
        <f t="array" ref="T47">SUMPRODUCT(H47:H295*1.2, I47:I295)</f>
        <v>227080.7160000001</v>
      </c>
      <c r="U47" cm="1">
        <f t="array" ref="U47">SUMPRODUCT(H47:H295, I47:I295*0.9)</f>
        <v>170310.53699999989</v>
      </c>
      <c r="V47" cm="1">
        <f t="array" ref="V47">SUMPRODUCT((H47:H295*1.15)*(I47:I295*0.95))</f>
        <v>206738.06852500013</v>
      </c>
      <c r="W47">
        <f>MONTH(Table1[[#This Row],[Date]])</f>
        <v>6</v>
      </c>
    </row>
    <row r="48" spans="1:23" ht="15.75" customHeight="1" x14ac:dyDescent="0.3">
      <c r="A48" s="4" t="s">
        <v>163</v>
      </c>
      <c r="B48" s="5">
        <v>45452</v>
      </c>
      <c r="C48" s="4" t="s">
        <v>164</v>
      </c>
      <c r="D48" s="4" t="s">
        <v>165</v>
      </c>
      <c r="E48" s="4" t="s">
        <v>33</v>
      </c>
      <c r="F48" s="4" t="s">
        <v>34</v>
      </c>
      <c r="G48" s="4" t="s">
        <v>35</v>
      </c>
      <c r="H48" s="4">
        <v>4</v>
      </c>
      <c r="I48" s="4">
        <v>59.99</v>
      </c>
      <c r="J48" s="4" t="s">
        <v>22</v>
      </c>
      <c r="K48" s="4" t="s">
        <v>65</v>
      </c>
      <c r="L48" s="4" t="s">
        <v>38</v>
      </c>
      <c r="M48" s="5">
        <v>44435</v>
      </c>
      <c r="N48" s="4">
        <v>239.96</v>
      </c>
      <c r="O48" s="7">
        <f t="shared" ca="1" si="0"/>
        <v>46084.816637962962</v>
      </c>
      <c r="P48" s="8">
        <f t="shared" ca="1" si="1"/>
        <v>46084.816637962962</v>
      </c>
      <c r="Q48">
        <f t="shared" si="2"/>
        <v>188933.95000000022</v>
      </c>
      <c r="R48">
        <f t="shared" si="3"/>
        <v>4.8</v>
      </c>
      <c r="S48">
        <f t="shared" si="4"/>
        <v>287.952</v>
      </c>
      <c r="T48" cm="1">
        <f t="array" ref="T48">SUMPRODUCT(H48:H296*1.2, I48:I296)</f>
        <v>226720.74000000011</v>
      </c>
      <c r="U48" cm="1">
        <f t="array" ref="U48">SUMPRODUCT(H48:H296, I48:I296*0.9)</f>
        <v>170040.55499999991</v>
      </c>
      <c r="V48" cm="1">
        <f t="array" ref="V48">SUMPRODUCT((H48:H296*1.15)*(I48:I296*0.95))</f>
        <v>206410.34037500015</v>
      </c>
      <c r="W48">
        <f>MONTH(Table1[[#This Row],[Date]])</f>
        <v>6</v>
      </c>
    </row>
    <row r="49" spans="1:23" ht="15.75" customHeight="1" x14ac:dyDescent="0.3">
      <c r="A49" s="4" t="s">
        <v>166</v>
      </c>
      <c r="B49" s="5">
        <v>45456</v>
      </c>
      <c r="C49" s="4" t="s">
        <v>131</v>
      </c>
      <c r="D49" s="4" t="s">
        <v>132</v>
      </c>
      <c r="E49" s="4" t="s">
        <v>119</v>
      </c>
      <c r="F49" s="4" t="s">
        <v>120</v>
      </c>
      <c r="G49" s="4" t="s">
        <v>21</v>
      </c>
      <c r="H49" s="4">
        <v>5</v>
      </c>
      <c r="I49" s="4">
        <v>89.99</v>
      </c>
      <c r="J49" s="4" t="s">
        <v>22</v>
      </c>
      <c r="K49" s="4" t="s">
        <v>23</v>
      </c>
      <c r="L49" s="4" t="s">
        <v>29</v>
      </c>
      <c r="M49" s="5">
        <v>44579</v>
      </c>
      <c r="N49" s="4">
        <v>449.95</v>
      </c>
      <c r="O49" s="7">
        <f t="shared" ca="1" si="0"/>
        <v>46084.816637962962</v>
      </c>
      <c r="P49" s="8">
        <f t="shared" ca="1" si="1"/>
        <v>46084.816637962962</v>
      </c>
      <c r="Q49">
        <f t="shared" si="2"/>
        <v>188693.99000000022</v>
      </c>
      <c r="R49">
        <f t="shared" si="3"/>
        <v>6</v>
      </c>
      <c r="S49">
        <f t="shared" si="4"/>
        <v>539.93999999999994</v>
      </c>
      <c r="T49" cm="1">
        <f t="array" ref="T49">SUMPRODUCT(H49:H297*1.2, I49:I297)</f>
        <v>226432.78800000012</v>
      </c>
      <c r="U49" cm="1">
        <f t="array" ref="U49">SUMPRODUCT(H49:H297, I49:I297*0.9)</f>
        <v>169824.59099999993</v>
      </c>
      <c r="V49" cm="1">
        <f t="array" ref="V49">SUMPRODUCT((H49:H297*1.15)*(I49:I297*0.95))</f>
        <v>206148.18407500014</v>
      </c>
      <c r="W49">
        <f>MONTH(Table1[[#This Row],[Date]])</f>
        <v>6</v>
      </c>
    </row>
    <row r="50" spans="1:23" ht="15.75" customHeight="1" x14ac:dyDescent="0.3">
      <c r="A50" s="4" t="s">
        <v>167</v>
      </c>
      <c r="B50" s="5">
        <v>45459</v>
      </c>
      <c r="C50" s="4" t="s">
        <v>101</v>
      </c>
      <c r="D50" s="4" t="s">
        <v>102</v>
      </c>
      <c r="E50" s="4" t="s">
        <v>119</v>
      </c>
      <c r="F50" s="4" t="s">
        <v>120</v>
      </c>
      <c r="G50" s="4" t="s">
        <v>21</v>
      </c>
      <c r="H50" s="4">
        <v>2</v>
      </c>
      <c r="I50" s="4">
        <v>89.99</v>
      </c>
      <c r="J50" s="4" t="s">
        <v>28</v>
      </c>
      <c r="K50" s="4" t="s">
        <v>37</v>
      </c>
      <c r="L50" s="4" t="s">
        <v>29</v>
      </c>
      <c r="M50" s="5">
        <v>44471</v>
      </c>
      <c r="N50" s="4">
        <v>179.98</v>
      </c>
      <c r="O50" s="7">
        <f t="shared" ca="1" si="0"/>
        <v>46084.816637962962</v>
      </c>
      <c r="P50" s="8">
        <f t="shared" ca="1" si="1"/>
        <v>46084.816637962962</v>
      </c>
      <c r="Q50">
        <f t="shared" si="2"/>
        <v>188244.04000000021</v>
      </c>
      <c r="R50">
        <f t="shared" si="3"/>
        <v>2.4</v>
      </c>
      <c r="S50">
        <f t="shared" si="4"/>
        <v>215.97599999999997</v>
      </c>
      <c r="T50" cm="1">
        <f t="array" ref="T50">SUMPRODUCT(H50:H298*1.2, I50:I298)</f>
        <v>225892.84800000011</v>
      </c>
      <c r="U50" cm="1">
        <f t="array" ref="U50">SUMPRODUCT(H50:H298, I50:I298*0.9)</f>
        <v>169419.63599999991</v>
      </c>
      <c r="V50" cm="1">
        <f t="array" ref="V50">SUMPRODUCT((H50:H298*1.15)*(I50:I298*0.95))</f>
        <v>205656.61370000013</v>
      </c>
      <c r="W50">
        <f>MONTH(Table1[[#This Row],[Date]])</f>
        <v>6</v>
      </c>
    </row>
    <row r="51" spans="1:23" ht="15.75" customHeight="1" x14ac:dyDescent="0.3">
      <c r="A51" s="4" t="s">
        <v>168</v>
      </c>
      <c r="B51" s="5">
        <v>45459</v>
      </c>
      <c r="C51" s="4" t="s">
        <v>17</v>
      </c>
      <c r="D51" s="4" t="s">
        <v>18</v>
      </c>
      <c r="E51" s="4" t="s">
        <v>63</v>
      </c>
      <c r="F51" s="4" t="s">
        <v>64</v>
      </c>
      <c r="G51" s="4" t="s">
        <v>21</v>
      </c>
      <c r="H51" s="4">
        <v>5</v>
      </c>
      <c r="I51" s="4">
        <v>899.99</v>
      </c>
      <c r="J51" s="4" t="s">
        <v>28</v>
      </c>
      <c r="K51" s="4" t="s">
        <v>37</v>
      </c>
      <c r="L51" s="4" t="s">
        <v>38</v>
      </c>
      <c r="M51" s="5">
        <v>44974</v>
      </c>
      <c r="N51" s="4">
        <v>4499.95</v>
      </c>
      <c r="O51" s="7">
        <f t="shared" ca="1" si="0"/>
        <v>46084.816637962962</v>
      </c>
      <c r="P51" s="8">
        <f t="shared" ca="1" si="1"/>
        <v>46084.816637962962</v>
      </c>
      <c r="Q51">
        <f t="shared" si="2"/>
        <v>188064.0600000002</v>
      </c>
      <c r="R51">
        <f t="shared" si="3"/>
        <v>6</v>
      </c>
      <c r="S51">
        <f t="shared" si="4"/>
        <v>5399.9400000000005</v>
      </c>
      <c r="T51" cm="1">
        <f t="array" ref="T51">SUMPRODUCT(H51:H299*1.2, I51:I299)</f>
        <v>225676.87200000012</v>
      </c>
      <c r="U51" cm="1">
        <f t="array" ref="U51">SUMPRODUCT(H51:H299, I51:I299*0.9)</f>
        <v>169257.65399999989</v>
      </c>
      <c r="V51" cm="1">
        <f t="array" ref="V51">SUMPRODUCT((H51:H299*1.15)*(I51:I299*0.95))</f>
        <v>205459.98555000016</v>
      </c>
      <c r="W51">
        <f>MONTH(Table1[[#This Row],[Date]])</f>
        <v>6</v>
      </c>
    </row>
    <row r="52" spans="1:23" ht="15.75" customHeight="1" x14ac:dyDescent="0.3">
      <c r="A52" s="4" t="s">
        <v>169</v>
      </c>
      <c r="B52" s="5">
        <v>45459</v>
      </c>
      <c r="C52" s="4" t="s">
        <v>125</v>
      </c>
      <c r="D52" s="4" t="s">
        <v>126</v>
      </c>
      <c r="E52" s="4" t="s">
        <v>63</v>
      </c>
      <c r="F52" s="4" t="s">
        <v>64</v>
      </c>
      <c r="G52" s="4" t="s">
        <v>21</v>
      </c>
      <c r="H52" s="4">
        <v>5</v>
      </c>
      <c r="I52" s="4">
        <v>899.99</v>
      </c>
      <c r="J52" s="4" t="s">
        <v>36</v>
      </c>
      <c r="K52" s="4" t="s">
        <v>65</v>
      </c>
      <c r="L52" s="4" t="s">
        <v>29</v>
      </c>
      <c r="M52" s="5">
        <v>45278</v>
      </c>
      <c r="N52" s="4">
        <v>4499.95</v>
      </c>
      <c r="O52" s="7">
        <f t="shared" ca="1" si="0"/>
        <v>46084.816637962962</v>
      </c>
      <c r="P52" s="8">
        <f t="shared" ca="1" si="1"/>
        <v>46084.816637962962</v>
      </c>
      <c r="Q52">
        <f t="shared" si="2"/>
        <v>183564.11000000022</v>
      </c>
      <c r="R52">
        <f t="shared" si="3"/>
        <v>6</v>
      </c>
      <c r="S52">
        <f t="shared" si="4"/>
        <v>5399.9400000000005</v>
      </c>
      <c r="T52" cm="1">
        <f t="array" ref="T52">SUMPRODUCT(H52:H300*1.2, I52:I300)</f>
        <v>220276.93200000006</v>
      </c>
      <c r="U52" cm="1">
        <f t="array" ref="U52">SUMPRODUCT(H52:H300, I52:I300*0.9)</f>
        <v>165207.69899999996</v>
      </c>
      <c r="V52" cm="1">
        <f t="array" ref="V52">SUMPRODUCT((H52:H300*1.15)*(I52:I300*0.95))</f>
        <v>200543.79017500015</v>
      </c>
      <c r="W52">
        <f>MONTH(Table1[[#This Row],[Date]])</f>
        <v>6</v>
      </c>
    </row>
    <row r="53" spans="1:23" ht="15.75" customHeight="1" x14ac:dyDescent="0.3">
      <c r="A53" s="4" t="s">
        <v>170</v>
      </c>
      <c r="B53" s="5">
        <v>45460</v>
      </c>
      <c r="C53" s="4" t="s">
        <v>160</v>
      </c>
      <c r="D53" s="4" t="s">
        <v>161</v>
      </c>
      <c r="E53" s="4" t="s">
        <v>33</v>
      </c>
      <c r="F53" s="4" t="s">
        <v>34</v>
      </c>
      <c r="G53" s="4" t="s">
        <v>35</v>
      </c>
      <c r="H53" s="4">
        <v>1</v>
      </c>
      <c r="I53" s="4">
        <v>59.99</v>
      </c>
      <c r="J53" s="4" t="s">
        <v>59</v>
      </c>
      <c r="K53" s="4" t="s">
        <v>52</v>
      </c>
      <c r="L53" s="4" t="s">
        <v>29</v>
      </c>
      <c r="M53" s="5">
        <v>45190</v>
      </c>
      <c r="N53" s="4">
        <v>59.99</v>
      </c>
      <c r="O53" s="7">
        <f t="shared" ca="1" si="0"/>
        <v>46084.816637962962</v>
      </c>
      <c r="P53" s="8">
        <f t="shared" ca="1" si="1"/>
        <v>46084.816637962962</v>
      </c>
      <c r="Q53">
        <f t="shared" si="2"/>
        <v>179064.16000000024</v>
      </c>
      <c r="R53">
        <f t="shared" si="3"/>
        <v>1.2</v>
      </c>
      <c r="S53">
        <f t="shared" si="4"/>
        <v>71.988</v>
      </c>
      <c r="T53" cm="1">
        <f t="array" ref="T53">SUMPRODUCT(H53:H301*1.2, I53:I301)</f>
        <v>214876.99200000009</v>
      </c>
      <c r="U53" cm="1">
        <f t="array" ref="U53">SUMPRODUCT(H53:H301, I53:I301*0.9)</f>
        <v>161157.74399999998</v>
      </c>
      <c r="V53" cm="1">
        <f t="array" ref="V53">SUMPRODUCT((H53:H301*1.15)*(I53:I301*0.95))</f>
        <v>195627.59480000011</v>
      </c>
      <c r="W53">
        <f>MONTH(Table1[[#This Row],[Date]])</f>
        <v>6</v>
      </c>
    </row>
    <row r="54" spans="1:23" ht="15.75" customHeight="1" x14ac:dyDescent="0.3">
      <c r="A54" s="4" t="s">
        <v>171</v>
      </c>
      <c r="B54" s="5">
        <v>45460</v>
      </c>
      <c r="C54" s="4" t="s">
        <v>143</v>
      </c>
      <c r="D54" s="4" t="s">
        <v>144</v>
      </c>
      <c r="E54" s="4" t="s">
        <v>107</v>
      </c>
      <c r="F54" s="4" t="s">
        <v>108</v>
      </c>
      <c r="G54" s="4" t="s">
        <v>48</v>
      </c>
      <c r="H54" s="4">
        <v>2</v>
      </c>
      <c r="I54" s="4">
        <v>299.99</v>
      </c>
      <c r="J54" s="4" t="s">
        <v>59</v>
      </c>
      <c r="K54" s="4" t="s">
        <v>65</v>
      </c>
      <c r="L54" s="4" t="s">
        <v>38</v>
      </c>
      <c r="M54" s="5">
        <v>45253</v>
      </c>
      <c r="N54" s="4">
        <v>599.98</v>
      </c>
      <c r="O54" s="7">
        <f t="shared" ca="1" si="0"/>
        <v>46084.816637962962</v>
      </c>
      <c r="P54" s="8">
        <f t="shared" ca="1" si="1"/>
        <v>46084.816637962962</v>
      </c>
      <c r="Q54">
        <f t="shared" si="2"/>
        <v>179004.17000000022</v>
      </c>
      <c r="R54">
        <f t="shared" si="3"/>
        <v>2.4</v>
      </c>
      <c r="S54">
        <f t="shared" si="4"/>
        <v>719.976</v>
      </c>
      <c r="T54" cm="1">
        <f t="array" ref="T54">SUMPRODUCT(H54:H302*1.2, I54:I302)</f>
        <v>214805.00400000007</v>
      </c>
      <c r="U54" cm="1">
        <f t="array" ref="U54">SUMPRODUCT(H54:H302, I54:I302*0.9)</f>
        <v>161103.75299999997</v>
      </c>
      <c r="V54" cm="1">
        <f t="array" ref="V54">SUMPRODUCT((H54:H302*1.15)*(I54:I302*0.95))</f>
        <v>195562.0557250001</v>
      </c>
      <c r="W54">
        <f>MONTH(Table1[[#This Row],[Date]])</f>
        <v>6</v>
      </c>
    </row>
    <row r="55" spans="1:23" ht="15.75" customHeight="1" x14ac:dyDescent="0.3">
      <c r="A55" s="4" t="s">
        <v>172</v>
      </c>
      <c r="B55" s="5">
        <v>45468</v>
      </c>
      <c r="C55" s="4" t="s">
        <v>173</v>
      </c>
      <c r="D55" s="4" t="s">
        <v>174</v>
      </c>
      <c r="E55" s="4" t="s">
        <v>119</v>
      </c>
      <c r="F55" s="4" t="s">
        <v>120</v>
      </c>
      <c r="G55" s="4" t="s">
        <v>21</v>
      </c>
      <c r="H55" s="4">
        <v>4</v>
      </c>
      <c r="I55" s="4">
        <v>89.99</v>
      </c>
      <c r="J55" s="4" t="s">
        <v>59</v>
      </c>
      <c r="K55" s="4" t="s">
        <v>37</v>
      </c>
      <c r="L55" s="4" t="s">
        <v>24</v>
      </c>
      <c r="M55" s="5">
        <v>45281</v>
      </c>
      <c r="N55" s="4">
        <v>359.96</v>
      </c>
      <c r="O55" s="7">
        <f t="shared" ca="1" si="0"/>
        <v>46084.816637962962</v>
      </c>
      <c r="P55" s="8">
        <f t="shared" ca="1" si="1"/>
        <v>46084.816637962962</v>
      </c>
      <c r="Q55">
        <f t="shared" si="2"/>
        <v>178404.19000000024</v>
      </c>
      <c r="R55">
        <f t="shared" si="3"/>
        <v>4.8</v>
      </c>
      <c r="S55">
        <f t="shared" si="4"/>
        <v>431.95199999999994</v>
      </c>
      <c r="T55" cm="1">
        <f t="array" ref="T55">SUMPRODUCT(H55:H303*1.2, I55:I303)</f>
        <v>214085.02800000008</v>
      </c>
      <c r="U55" cm="1">
        <f t="array" ref="U55">SUMPRODUCT(H55:H303, I55:I303*0.9)</f>
        <v>160563.77099999998</v>
      </c>
      <c r="V55" cm="1">
        <f t="array" ref="V55">SUMPRODUCT((H55:H303*1.15)*(I55:I303*0.95))</f>
        <v>194906.57757500012</v>
      </c>
      <c r="W55">
        <f>MONTH(Table1[[#This Row],[Date]])</f>
        <v>6</v>
      </c>
    </row>
    <row r="56" spans="1:23" ht="15.75" customHeight="1" x14ac:dyDescent="0.3">
      <c r="A56" s="4" t="s">
        <v>175</v>
      </c>
      <c r="B56" s="5">
        <v>45469</v>
      </c>
      <c r="C56" s="4" t="s">
        <v>31</v>
      </c>
      <c r="D56" s="4" t="s">
        <v>32</v>
      </c>
      <c r="E56" s="4" t="s">
        <v>116</v>
      </c>
      <c r="F56" s="4" t="s">
        <v>117</v>
      </c>
      <c r="G56" s="4" t="s">
        <v>35</v>
      </c>
      <c r="H56" s="4">
        <v>1</v>
      </c>
      <c r="I56" s="4">
        <v>79.989999999999995</v>
      </c>
      <c r="J56" s="4" t="s">
        <v>36</v>
      </c>
      <c r="K56" s="4" t="s">
        <v>23</v>
      </c>
      <c r="L56" s="4" t="s">
        <v>29</v>
      </c>
      <c r="M56" s="5">
        <v>45352</v>
      </c>
      <c r="N56" s="4">
        <v>79.989999999999995</v>
      </c>
      <c r="O56" s="7">
        <f t="shared" ca="1" si="0"/>
        <v>46084.816637962962</v>
      </c>
      <c r="P56" s="8">
        <f t="shared" ca="1" si="1"/>
        <v>46084.816637962962</v>
      </c>
      <c r="Q56">
        <f t="shared" si="2"/>
        <v>178044.23000000021</v>
      </c>
      <c r="R56">
        <f t="shared" si="3"/>
        <v>1.2</v>
      </c>
      <c r="S56">
        <f t="shared" si="4"/>
        <v>95.987999999999985</v>
      </c>
      <c r="T56" cm="1">
        <f t="array" ref="T56">SUMPRODUCT(H56:H304*1.2, I56:I304)</f>
        <v>213653.07600000009</v>
      </c>
      <c r="U56" cm="1">
        <f t="array" ref="U56">SUMPRODUCT(H56:H304, I56:I304*0.9)</f>
        <v>160239.80699999997</v>
      </c>
      <c r="V56" cm="1">
        <f t="array" ref="V56">SUMPRODUCT((H56:H304*1.15)*(I56:I304*0.95))</f>
        <v>194513.32127500011</v>
      </c>
      <c r="W56">
        <f>MONTH(Table1[[#This Row],[Date]])</f>
        <v>6</v>
      </c>
    </row>
    <row r="57" spans="1:23" ht="15.75" customHeight="1" x14ac:dyDescent="0.3">
      <c r="A57" s="4" t="s">
        <v>176</v>
      </c>
      <c r="B57" s="5">
        <v>45469</v>
      </c>
      <c r="C57" s="4" t="s">
        <v>61</v>
      </c>
      <c r="D57" s="4" t="s">
        <v>62</v>
      </c>
      <c r="E57" s="4" t="s">
        <v>119</v>
      </c>
      <c r="F57" s="4" t="s">
        <v>120</v>
      </c>
      <c r="G57" s="4" t="s">
        <v>21</v>
      </c>
      <c r="H57" s="4">
        <v>2</v>
      </c>
      <c r="I57" s="4">
        <v>89.99</v>
      </c>
      <c r="J57" s="4" t="s">
        <v>22</v>
      </c>
      <c r="K57" s="4" t="s">
        <v>52</v>
      </c>
      <c r="L57" s="4" t="s">
        <v>24</v>
      </c>
      <c r="M57" s="5">
        <v>44438</v>
      </c>
      <c r="N57" s="4">
        <v>179.98</v>
      </c>
      <c r="O57" s="7">
        <f t="shared" ca="1" si="0"/>
        <v>46084.816637962962</v>
      </c>
      <c r="P57" s="8">
        <f t="shared" ca="1" si="1"/>
        <v>46084.816637962962</v>
      </c>
      <c r="Q57">
        <f t="shared" si="2"/>
        <v>177964.24000000022</v>
      </c>
      <c r="R57">
        <f t="shared" si="3"/>
        <v>2.4</v>
      </c>
      <c r="S57">
        <f t="shared" si="4"/>
        <v>215.97599999999997</v>
      </c>
      <c r="T57" cm="1">
        <f t="array" ref="T57">SUMPRODUCT(H57:H305*1.2, I57:I305)</f>
        <v>213557.08800000008</v>
      </c>
      <c r="U57" cm="1">
        <f t="array" ref="U57">SUMPRODUCT(H57:H305, I57:I305*0.9)</f>
        <v>160167.81599999999</v>
      </c>
      <c r="V57" cm="1">
        <f t="array" ref="V57">SUMPRODUCT((H57:H305*1.15)*(I57:I305*0.95))</f>
        <v>194425.93220000013</v>
      </c>
      <c r="W57">
        <f>MONTH(Table1[[#This Row],[Date]])</f>
        <v>6</v>
      </c>
    </row>
    <row r="58" spans="1:23" ht="15.75" customHeight="1" x14ac:dyDescent="0.3">
      <c r="A58" s="4" t="s">
        <v>177</v>
      </c>
      <c r="B58" s="5">
        <v>45471</v>
      </c>
      <c r="C58" s="4" t="s">
        <v>40</v>
      </c>
      <c r="D58" s="4" t="s">
        <v>41</v>
      </c>
      <c r="E58" s="4" t="s">
        <v>82</v>
      </c>
      <c r="F58" s="4" t="s">
        <v>83</v>
      </c>
      <c r="G58" s="4" t="s">
        <v>21</v>
      </c>
      <c r="H58" s="4">
        <v>3</v>
      </c>
      <c r="I58" s="4">
        <v>699.99</v>
      </c>
      <c r="J58" s="4" t="s">
        <v>28</v>
      </c>
      <c r="K58" s="4" t="s">
        <v>65</v>
      </c>
      <c r="L58" s="4" t="s">
        <v>29</v>
      </c>
      <c r="M58" s="5">
        <v>45102</v>
      </c>
      <c r="N58" s="4">
        <v>2099.9699999999998</v>
      </c>
      <c r="O58" s="7">
        <f t="shared" ca="1" si="0"/>
        <v>46084.816637962962</v>
      </c>
      <c r="P58" s="8">
        <f t="shared" ca="1" si="1"/>
        <v>46084.816637962962</v>
      </c>
      <c r="Q58">
        <f t="shared" si="2"/>
        <v>177784.26000000021</v>
      </c>
      <c r="R58">
        <f t="shared" si="3"/>
        <v>3.5999999999999996</v>
      </c>
      <c r="S58">
        <f t="shared" si="4"/>
        <v>2519.9639999999999</v>
      </c>
      <c r="T58" cm="1">
        <f t="array" ref="T58">SUMPRODUCT(H58:H306*1.2, I58:I306)</f>
        <v>213341.11200000005</v>
      </c>
      <c r="U58" cm="1">
        <f t="array" ref="U58">SUMPRODUCT(H58:H306, I58:I306*0.9)</f>
        <v>160005.83399999997</v>
      </c>
      <c r="V58" cm="1">
        <f t="array" ref="V58">SUMPRODUCT((H58:H306*1.15)*(I58:I306*0.95))</f>
        <v>194229.30405000012</v>
      </c>
      <c r="W58">
        <f>MONTH(Table1[[#This Row],[Date]])</f>
        <v>6</v>
      </c>
    </row>
    <row r="59" spans="1:23" ht="15.75" customHeight="1" x14ac:dyDescent="0.3">
      <c r="A59" s="4" t="s">
        <v>178</v>
      </c>
      <c r="B59" s="5">
        <v>45471</v>
      </c>
      <c r="C59" s="4" t="s">
        <v>101</v>
      </c>
      <c r="D59" s="4" t="s">
        <v>102</v>
      </c>
      <c r="E59" s="4" t="s">
        <v>63</v>
      </c>
      <c r="F59" s="4" t="s">
        <v>64</v>
      </c>
      <c r="G59" s="4" t="s">
        <v>21</v>
      </c>
      <c r="H59" s="4">
        <v>4</v>
      </c>
      <c r="I59" s="4">
        <v>899.99</v>
      </c>
      <c r="J59" s="4" t="s">
        <v>28</v>
      </c>
      <c r="K59" s="4" t="s">
        <v>65</v>
      </c>
      <c r="L59" s="4" t="s">
        <v>29</v>
      </c>
      <c r="M59" s="5">
        <v>44993</v>
      </c>
      <c r="N59" s="4">
        <v>3599.96</v>
      </c>
      <c r="O59" s="7">
        <f t="shared" ca="1" si="0"/>
        <v>46084.816637962962</v>
      </c>
      <c r="P59" s="8">
        <f t="shared" ca="1" si="1"/>
        <v>46084.816637962962</v>
      </c>
      <c r="Q59">
        <f t="shared" si="2"/>
        <v>175684.29000000021</v>
      </c>
      <c r="R59">
        <f t="shared" si="3"/>
        <v>4.8</v>
      </c>
      <c r="S59">
        <f t="shared" si="4"/>
        <v>4319.9520000000002</v>
      </c>
      <c r="T59" cm="1">
        <f t="array" ref="T59">SUMPRODUCT(H59:H307*1.2, I59:I307)</f>
        <v>210821.14800000004</v>
      </c>
      <c r="U59" cm="1">
        <f t="array" ref="U59">SUMPRODUCT(H59:H307, I59:I307*0.9)</f>
        <v>158115.86099999998</v>
      </c>
      <c r="V59" cm="1">
        <f t="array" ref="V59">SUMPRODUCT((H59:H307*1.15)*(I59:I307*0.95))</f>
        <v>191935.08682500012</v>
      </c>
      <c r="W59">
        <f>MONTH(Table1[[#This Row],[Date]])</f>
        <v>6</v>
      </c>
    </row>
    <row r="60" spans="1:23" ht="15.75" customHeight="1" x14ac:dyDescent="0.3">
      <c r="A60" s="4" t="s">
        <v>179</v>
      </c>
      <c r="B60" s="5">
        <v>45472</v>
      </c>
      <c r="C60" s="4" t="s">
        <v>122</v>
      </c>
      <c r="D60" s="4" t="s">
        <v>123</v>
      </c>
      <c r="E60" s="4" t="s">
        <v>46</v>
      </c>
      <c r="F60" s="4" t="s">
        <v>47</v>
      </c>
      <c r="G60" s="4" t="s">
        <v>48</v>
      </c>
      <c r="H60" s="4">
        <v>1</v>
      </c>
      <c r="I60" s="4">
        <v>149.99</v>
      </c>
      <c r="J60" s="4" t="s">
        <v>36</v>
      </c>
      <c r="K60" s="4" t="s">
        <v>65</v>
      </c>
      <c r="L60" s="4" t="s">
        <v>24</v>
      </c>
      <c r="M60" s="5">
        <v>44851</v>
      </c>
      <c r="N60" s="4">
        <v>149.99</v>
      </c>
      <c r="O60" s="7">
        <f t="shared" ca="1" si="0"/>
        <v>46084.816637962962</v>
      </c>
      <c r="P60" s="8">
        <f t="shared" ca="1" si="1"/>
        <v>46084.816637962962</v>
      </c>
      <c r="Q60">
        <f t="shared" si="2"/>
        <v>172084.33000000025</v>
      </c>
      <c r="R60">
        <f t="shared" si="3"/>
        <v>1.2</v>
      </c>
      <c r="S60">
        <f t="shared" si="4"/>
        <v>179.988</v>
      </c>
      <c r="T60" cm="1">
        <f t="array" ref="T60">SUMPRODUCT(H60:H308*1.2, I60:I308)</f>
        <v>206501.19600000005</v>
      </c>
      <c r="U60" cm="1">
        <f t="array" ref="U60">SUMPRODUCT(H60:H308, I60:I308*0.9)</f>
        <v>154875.89700000003</v>
      </c>
      <c r="V60" cm="1">
        <f t="array" ref="V60">SUMPRODUCT((H60:H308*1.15)*(I60:I308*0.95))</f>
        <v>188002.1305250001</v>
      </c>
      <c r="W60">
        <f>MONTH(Table1[[#This Row],[Date]])</f>
        <v>6</v>
      </c>
    </row>
    <row r="61" spans="1:23" ht="15.75" customHeight="1" x14ac:dyDescent="0.3">
      <c r="A61" s="4" t="s">
        <v>180</v>
      </c>
      <c r="B61" s="5">
        <v>45474</v>
      </c>
      <c r="C61" s="4" t="s">
        <v>134</v>
      </c>
      <c r="D61" s="4" t="s">
        <v>135</v>
      </c>
      <c r="E61" s="4" t="s">
        <v>119</v>
      </c>
      <c r="F61" s="4" t="s">
        <v>120</v>
      </c>
      <c r="G61" s="4" t="s">
        <v>21</v>
      </c>
      <c r="H61" s="4">
        <v>2</v>
      </c>
      <c r="I61" s="4">
        <v>89.99</v>
      </c>
      <c r="J61" s="4" t="s">
        <v>36</v>
      </c>
      <c r="K61" s="4" t="s">
        <v>23</v>
      </c>
      <c r="L61" s="4" t="s">
        <v>29</v>
      </c>
      <c r="M61" s="5">
        <v>45275</v>
      </c>
      <c r="N61" s="4">
        <v>179.98</v>
      </c>
      <c r="O61" s="7">
        <f t="shared" ca="1" si="0"/>
        <v>46084.816637962962</v>
      </c>
      <c r="P61" s="8">
        <f t="shared" ca="1" si="1"/>
        <v>46084.816637962962</v>
      </c>
      <c r="Q61">
        <f t="shared" si="2"/>
        <v>171934.34000000023</v>
      </c>
      <c r="R61">
        <f t="shared" si="3"/>
        <v>2.4</v>
      </c>
      <c r="S61">
        <f t="shared" si="4"/>
        <v>215.97599999999997</v>
      </c>
      <c r="T61" cm="1">
        <f t="array" ref="T61">SUMPRODUCT(H61:H309*1.2, I61:I309)</f>
        <v>206321.20800000007</v>
      </c>
      <c r="U61" cm="1">
        <f t="array" ref="U61">SUMPRODUCT(H61:H309, I61:I309*0.9)</f>
        <v>154740.90600000002</v>
      </c>
      <c r="V61" cm="1">
        <f t="array" ref="V61">SUMPRODUCT((H61:H309*1.15)*(I61:I309*0.95))</f>
        <v>187838.26645000011</v>
      </c>
      <c r="W61">
        <f>MONTH(Table1[[#This Row],[Date]])</f>
        <v>7</v>
      </c>
    </row>
    <row r="62" spans="1:23" ht="15.75" customHeight="1" x14ac:dyDescent="0.3">
      <c r="A62" s="4" t="s">
        <v>181</v>
      </c>
      <c r="B62" s="5">
        <v>45475</v>
      </c>
      <c r="C62" s="4" t="s">
        <v>57</v>
      </c>
      <c r="D62" s="4" t="s">
        <v>58</v>
      </c>
      <c r="E62" s="4" t="s">
        <v>119</v>
      </c>
      <c r="F62" s="4" t="s">
        <v>120</v>
      </c>
      <c r="G62" s="4" t="s">
        <v>21</v>
      </c>
      <c r="H62" s="4">
        <v>1</v>
      </c>
      <c r="I62" s="4">
        <v>89.99</v>
      </c>
      <c r="J62" s="4" t="s">
        <v>36</v>
      </c>
      <c r="K62" s="4" t="s">
        <v>52</v>
      </c>
      <c r="L62" s="4" t="s">
        <v>38</v>
      </c>
      <c r="M62" s="5">
        <v>44802</v>
      </c>
      <c r="N62" s="4">
        <v>89.99</v>
      </c>
      <c r="O62" s="7">
        <f t="shared" ca="1" si="0"/>
        <v>46084.816637962962</v>
      </c>
      <c r="P62" s="8">
        <f t="shared" ca="1" si="1"/>
        <v>46084.816637962962</v>
      </c>
      <c r="Q62">
        <f t="shared" si="2"/>
        <v>171754.36000000022</v>
      </c>
      <c r="R62">
        <f t="shared" si="3"/>
        <v>1.2</v>
      </c>
      <c r="S62">
        <f t="shared" si="4"/>
        <v>107.98799999999999</v>
      </c>
      <c r="T62" cm="1">
        <f t="array" ref="T62">SUMPRODUCT(H62:H310*1.2, I62:I310)</f>
        <v>206105.23200000005</v>
      </c>
      <c r="U62" cm="1">
        <f t="array" ref="U62">SUMPRODUCT(H62:H310, I62:I310*0.9)</f>
        <v>154578.92400000003</v>
      </c>
      <c r="V62" cm="1">
        <f t="array" ref="V62">SUMPRODUCT((H62:H310*1.15)*(I62:I310*0.95))</f>
        <v>187641.63830000011</v>
      </c>
      <c r="W62">
        <f>MONTH(Table1[[#This Row],[Date]])</f>
        <v>7</v>
      </c>
    </row>
    <row r="63" spans="1:23" ht="15.75" customHeight="1" x14ac:dyDescent="0.3">
      <c r="A63" s="4" t="s">
        <v>182</v>
      </c>
      <c r="B63" s="5">
        <v>45476</v>
      </c>
      <c r="C63" s="4" t="s">
        <v>70</v>
      </c>
      <c r="D63" s="4" t="s">
        <v>71</v>
      </c>
      <c r="E63" s="4" t="s">
        <v>119</v>
      </c>
      <c r="F63" s="4" t="s">
        <v>120</v>
      </c>
      <c r="G63" s="4" t="s">
        <v>21</v>
      </c>
      <c r="H63" s="4">
        <v>1</v>
      </c>
      <c r="I63" s="4">
        <v>89.99</v>
      </c>
      <c r="J63" s="4" t="s">
        <v>22</v>
      </c>
      <c r="K63" s="4" t="s">
        <v>37</v>
      </c>
      <c r="L63" s="4" t="s">
        <v>38</v>
      </c>
      <c r="M63" s="5">
        <v>44611</v>
      </c>
      <c r="N63" s="4">
        <v>89.99</v>
      </c>
      <c r="O63" s="7">
        <f t="shared" ca="1" si="0"/>
        <v>46084.816637962962</v>
      </c>
      <c r="P63" s="8">
        <f t="shared" ca="1" si="1"/>
        <v>46084.816637962962</v>
      </c>
      <c r="Q63">
        <f t="shared" si="2"/>
        <v>171664.37000000023</v>
      </c>
      <c r="R63">
        <f t="shared" si="3"/>
        <v>1.2</v>
      </c>
      <c r="S63">
        <f t="shared" si="4"/>
        <v>107.98799999999999</v>
      </c>
      <c r="T63" cm="1">
        <f t="array" ref="T63">SUMPRODUCT(H63:H311*1.2, I63:I311)</f>
        <v>205997.24400000006</v>
      </c>
      <c r="U63" cm="1">
        <f t="array" ref="U63">SUMPRODUCT(H63:H311, I63:I311*0.9)</f>
        <v>154497.93300000002</v>
      </c>
      <c r="V63" cm="1">
        <f t="array" ref="V63">SUMPRODUCT((H63:H311*1.15)*(I63:I311*0.95))</f>
        <v>187543.32422500013</v>
      </c>
      <c r="W63">
        <f>MONTH(Table1[[#This Row],[Date]])</f>
        <v>7</v>
      </c>
    </row>
    <row r="64" spans="1:23" ht="15.75" customHeight="1" x14ac:dyDescent="0.3">
      <c r="A64" s="4" t="s">
        <v>183</v>
      </c>
      <c r="B64" s="5">
        <v>45476</v>
      </c>
      <c r="C64" s="4" t="s">
        <v>184</v>
      </c>
      <c r="D64" s="4" t="s">
        <v>185</v>
      </c>
      <c r="E64" s="4" t="s">
        <v>116</v>
      </c>
      <c r="F64" s="4" t="s">
        <v>117</v>
      </c>
      <c r="G64" s="4" t="s">
        <v>35</v>
      </c>
      <c r="H64" s="4">
        <v>5</v>
      </c>
      <c r="I64" s="4">
        <v>79.989999999999995</v>
      </c>
      <c r="J64" s="4" t="s">
        <v>59</v>
      </c>
      <c r="K64" s="4" t="s">
        <v>23</v>
      </c>
      <c r="L64" s="4" t="s">
        <v>24</v>
      </c>
      <c r="M64" s="5">
        <v>44981</v>
      </c>
      <c r="N64" s="4">
        <v>399.95</v>
      </c>
      <c r="O64" s="7">
        <f t="shared" ca="1" si="0"/>
        <v>46084.816637962962</v>
      </c>
      <c r="P64" s="8">
        <f t="shared" ca="1" si="1"/>
        <v>46084.816637962962</v>
      </c>
      <c r="Q64">
        <f t="shared" si="2"/>
        <v>171574.38000000021</v>
      </c>
      <c r="R64">
        <f t="shared" si="3"/>
        <v>6</v>
      </c>
      <c r="S64">
        <f t="shared" si="4"/>
        <v>479.93999999999994</v>
      </c>
      <c r="T64" cm="1">
        <f t="array" ref="T64">SUMPRODUCT(H64:H312*1.2, I64:I312)</f>
        <v>205889.25600000005</v>
      </c>
      <c r="U64" cm="1">
        <f t="array" ref="U64">SUMPRODUCT(H64:H312, I64:I312*0.9)</f>
        <v>154416.94200000001</v>
      </c>
      <c r="V64" cm="1">
        <f t="array" ref="V64">SUMPRODUCT((H64:H312*1.15)*(I64:I312*0.95))</f>
        <v>187445.01015000013</v>
      </c>
      <c r="W64">
        <f>MONTH(Table1[[#This Row],[Date]])</f>
        <v>7</v>
      </c>
    </row>
    <row r="65" spans="1:23" ht="15.75" customHeight="1" x14ac:dyDescent="0.3">
      <c r="A65" s="4" t="s">
        <v>186</v>
      </c>
      <c r="B65" s="5">
        <v>45481</v>
      </c>
      <c r="C65" s="4" t="s">
        <v>187</v>
      </c>
      <c r="D65" s="4" t="s">
        <v>188</v>
      </c>
      <c r="E65" s="4" t="s">
        <v>46</v>
      </c>
      <c r="F65" s="4" t="s">
        <v>47</v>
      </c>
      <c r="G65" s="4" t="s">
        <v>48</v>
      </c>
      <c r="H65" s="4">
        <v>1</v>
      </c>
      <c r="I65" s="4">
        <v>149.99</v>
      </c>
      <c r="J65" s="4" t="s">
        <v>36</v>
      </c>
      <c r="K65" s="4" t="s">
        <v>42</v>
      </c>
      <c r="L65" s="4" t="s">
        <v>24</v>
      </c>
      <c r="M65" s="5">
        <v>44421</v>
      </c>
      <c r="N65" s="4">
        <v>149.99</v>
      </c>
      <c r="O65" s="7">
        <f t="shared" ca="1" si="0"/>
        <v>46084.816637962962</v>
      </c>
      <c r="P65" s="8">
        <f t="shared" ca="1" si="1"/>
        <v>46084.816637962962</v>
      </c>
      <c r="Q65">
        <f t="shared" si="2"/>
        <v>171174.43000000023</v>
      </c>
      <c r="R65">
        <f t="shared" si="3"/>
        <v>1.2</v>
      </c>
      <c r="S65">
        <f t="shared" si="4"/>
        <v>179.988</v>
      </c>
      <c r="T65" cm="1">
        <f t="array" ref="T65">SUMPRODUCT(H65:H313*1.2, I65:I313)</f>
        <v>205409.31600000005</v>
      </c>
      <c r="U65" cm="1">
        <f t="array" ref="U65">SUMPRODUCT(H65:H313, I65:I313*0.9)</f>
        <v>154056.98700000002</v>
      </c>
      <c r="V65" cm="1">
        <f t="array" ref="V65">SUMPRODUCT((H65:H313*1.15)*(I65:I313*0.95))</f>
        <v>187008.06477500012</v>
      </c>
      <c r="W65">
        <f>MONTH(Table1[[#This Row],[Date]])</f>
        <v>7</v>
      </c>
    </row>
    <row r="66" spans="1:23" ht="15.75" customHeight="1" x14ac:dyDescent="0.3">
      <c r="A66" s="4" t="s">
        <v>189</v>
      </c>
      <c r="B66" s="5">
        <v>45481</v>
      </c>
      <c r="C66" s="4" t="s">
        <v>44</v>
      </c>
      <c r="D66" s="4" t="s">
        <v>45</v>
      </c>
      <c r="E66" s="4" t="s">
        <v>82</v>
      </c>
      <c r="F66" s="4" t="s">
        <v>83</v>
      </c>
      <c r="G66" s="4" t="s">
        <v>21</v>
      </c>
      <c r="H66" s="4">
        <v>2</v>
      </c>
      <c r="I66" s="4">
        <v>699.99</v>
      </c>
      <c r="J66" s="4" t="s">
        <v>36</v>
      </c>
      <c r="K66" s="4" t="s">
        <v>65</v>
      </c>
      <c r="L66" s="4" t="s">
        <v>29</v>
      </c>
      <c r="M66" s="5">
        <v>45389</v>
      </c>
      <c r="N66" s="4">
        <v>1399.98</v>
      </c>
      <c r="O66" s="7">
        <f t="shared" ref="O66:O129" ca="1" si="5">NOW()</f>
        <v>46084.816637962962</v>
      </c>
      <c r="P66" s="8">
        <f t="shared" ref="P66:P129" ca="1" si="6">IF(A66&lt;&gt;"", IF(O66="", NOW(), O66), "")</f>
        <v>46084.816637962962</v>
      </c>
      <c r="Q66">
        <f t="shared" ref="Q66:Q129" si="7">SUM(N66:N314)</f>
        <v>171024.44000000021</v>
      </c>
      <c r="R66">
        <f t="shared" ref="R66:R129" si="8">H66*1.2</f>
        <v>2.4</v>
      </c>
      <c r="S66">
        <f t="shared" ref="S66:S129" si="9">(H66*1.2)*I66</f>
        <v>1679.9759999999999</v>
      </c>
      <c r="T66" cm="1">
        <f t="array" ref="T66">SUMPRODUCT(H66:H314*1.2, I66:I314)</f>
        <v>205229.32800000007</v>
      </c>
      <c r="U66" cm="1">
        <f t="array" ref="U66">SUMPRODUCT(H66:H314, I66:I314*0.9)</f>
        <v>153921.99600000001</v>
      </c>
      <c r="V66" cm="1">
        <f t="array" ref="V66">SUMPRODUCT((H66:H314*1.15)*(I66:I314*0.95))</f>
        <v>186844.20070000013</v>
      </c>
      <c r="W66">
        <f>MONTH(Table1[[#This Row],[Date]])</f>
        <v>7</v>
      </c>
    </row>
    <row r="67" spans="1:23" ht="15.75" customHeight="1" x14ac:dyDescent="0.3">
      <c r="A67" s="4" t="s">
        <v>190</v>
      </c>
      <c r="B67" s="5">
        <v>45481</v>
      </c>
      <c r="C67" s="4" t="s">
        <v>98</v>
      </c>
      <c r="D67" s="4" t="s">
        <v>99</v>
      </c>
      <c r="E67" s="4" t="s">
        <v>119</v>
      </c>
      <c r="F67" s="4" t="s">
        <v>120</v>
      </c>
      <c r="G67" s="4" t="s">
        <v>21</v>
      </c>
      <c r="H67" s="4">
        <v>5</v>
      </c>
      <c r="I67" s="4">
        <v>89.99</v>
      </c>
      <c r="J67" s="4" t="s">
        <v>59</v>
      </c>
      <c r="K67" s="4" t="s">
        <v>42</v>
      </c>
      <c r="L67" s="4" t="s">
        <v>29</v>
      </c>
      <c r="M67" s="5">
        <v>45161</v>
      </c>
      <c r="N67" s="4">
        <v>449.95</v>
      </c>
      <c r="O67" s="7">
        <f t="shared" ca="1" si="5"/>
        <v>46084.816637962962</v>
      </c>
      <c r="P67" s="8">
        <f t="shared" ca="1" si="6"/>
        <v>46084.816637962962</v>
      </c>
      <c r="Q67">
        <f t="shared" si="7"/>
        <v>169624.4600000002</v>
      </c>
      <c r="R67">
        <f t="shared" si="8"/>
        <v>6</v>
      </c>
      <c r="S67">
        <f t="shared" si="9"/>
        <v>539.93999999999994</v>
      </c>
      <c r="T67" cm="1">
        <f t="array" ref="T67">SUMPRODUCT(H67:H315*1.2, I67:I315)</f>
        <v>203549.35200000007</v>
      </c>
      <c r="U67" cm="1">
        <f t="array" ref="U67">SUMPRODUCT(H67:H315, I67:I315*0.9)</f>
        <v>152662.014</v>
      </c>
      <c r="V67" cm="1">
        <f t="array" ref="V67">SUMPRODUCT((H67:H315*1.15)*(I67:I315*0.95))</f>
        <v>185314.72255000012</v>
      </c>
      <c r="W67">
        <f>MONTH(Table1[[#This Row],[Date]])</f>
        <v>7</v>
      </c>
    </row>
    <row r="68" spans="1:23" ht="15.75" customHeight="1" x14ac:dyDescent="0.3">
      <c r="A68" s="4" t="s">
        <v>191</v>
      </c>
      <c r="B68" s="5">
        <v>45482</v>
      </c>
      <c r="C68" s="4" t="s">
        <v>173</v>
      </c>
      <c r="D68" s="4" t="s">
        <v>174</v>
      </c>
      <c r="E68" s="4" t="s">
        <v>33</v>
      </c>
      <c r="F68" s="4" t="s">
        <v>34</v>
      </c>
      <c r="G68" s="4" t="s">
        <v>35</v>
      </c>
      <c r="H68" s="4">
        <v>4</v>
      </c>
      <c r="I68" s="4">
        <v>59.99</v>
      </c>
      <c r="J68" s="4" t="s">
        <v>22</v>
      </c>
      <c r="K68" s="4" t="s">
        <v>37</v>
      </c>
      <c r="L68" s="4" t="s">
        <v>38</v>
      </c>
      <c r="M68" s="5">
        <v>44509</v>
      </c>
      <c r="N68" s="4">
        <v>239.96</v>
      </c>
      <c r="O68" s="7">
        <f t="shared" ca="1" si="5"/>
        <v>46084.816637962962</v>
      </c>
      <c r="P68" s="8">
        <f t="shared" ca="1" si="6"/>
        <v>46084.816637962962</v>
      </c>
      <c r="Q68">
        <f t="shared" si="7"/>
        <v>169174.51000000018</v>
      </c>
      <c r="R68">
        <f t="shared" si="8"/>
        <v>4.8</v>
      </c>
      <c r="S68">
        <f t="shared" si="9"/>
        <v>287.952</v>
      </c>
      <c r="T68" cm="1">
        <f t="array" ref="T68">SUMPRODUCT(H68:H316*1.2, I68:I316)</f>
        <v>203009.41200000007</v>
      </c>
      <c r="U68" cm="1">
        <f t="array" ref="U68">SUMPRODUCT(H68:H316, I68:I316*0.9)</f>
        <v>152257.05900000001</v>
      </c>
      <c r="V68" cm="1">
        <f t="array" ref="V68">SUMPRODUCT((H68:H316*1.15)*(I68:I316*0.95))</f>
        <v>184823.15217500011</v>
      </c>
      <c r="W68">
        <f>MONTH(Table1[[#This Row],[Date]])</f>
        <v>7</v>
      </c>
    </row>
    <row r="69" spans="1:23" ht="15.75" customHeight="1" x14ac:dyDescent="0.3">
      <c r="A69" s="4" t="s">
        <v>192</v>
      </c>
      <c r="B69" s="5">
        <v>45484</v>
      </c>
      <c r="C69" s="4" t="s">
        <v>26</v>
      </c>
      <c r="D69" s="4" t="s">
        <v>27</v>
      </c>
      <c r="E69" s="4" t="s">
        <v>54</v>
      </c>
      <c r="F69" s="4" t="s">
        <v>55</v>
      </c>
      <c r="G69" s="4" t="s">
        <v>21</v>
      </c>
      <c r="H69" s="4">
        <v>1</v>
      </c>
      <c r="I69" s="4">
        <v>149.99</v>
      </c>
      <c r="J69" s="4" t="s">
        <v>22</v>
      </c>
      <c r="K69" s="4" t="s">
        <v>23</v>
      </c>
      <c r="L69" s="4" t="s">
        <v>38</v>
      </c>
      <c r="M69" s="5">
        <v>44909</v>
      </c>
      <c r="N69" s="4">
        <v>149.99</v>
      </c>
      <c r="O69" s="7">
        <f t="shared" ca="1" si="5"/>
        <v>46084.816637962962</v>
      </c>
      <c r="P69" s="8">
        <f t="shared" ca="1" si="6"/>
        <v>46084.816637962962</v>
      </c>
      <c r="Q69">
        <f t="shared" si="7"/>
        <v>168934.55000000019</v>
      </c>
      <c r="R69">
        <f t="shared" si="8"/>
        <v>1.2</v>
      </c>
      <c r="S69">
        <f t="shared" si="9"/>
        <v>179.988</v>
      </c>
      <c r="T69" cm="1">
        <f t="array" ref="T69">SUMPRODUCT(H69:H317*1.2, I69:I317)</f>
        <v>202721.46000000005</v>
      </c>
      <c r="U69" cm="1">
        <f t="array" ref="U69">SUMPRODUCT(H69:H317, I69:I317*0.9)</f>
        <v>152041.095</v>
      </c>
      <c r="V69" cm="1">
        <f t="array" ref="V69">SUMPRODUCT((H69:H317*1.15)*(I69:I317*0.95))</f>
        <v>184560.99587500011</v>
      </c>
      <c r="W69">
        <f>MONTH(Table1[[#This Row],[Date]])</f>
        <v>7</v>
      </c>
    </row>
    <row r="70" spans="1:23" ht="15.75" customHeight="1" x14ac:dyDescent="0.3">
      <c r="A70" s="4" t="s">
        <v>193</v>
      </c>
      <c r="B70" s="5">
        <v>45484</v>
      </c>
      <c r="C70" s="4" t="s">
        <v>194</v>
      </c>
      <c r="D70" s="4" t="s">
        <v>195</v>
      </c>
      <c r="E70" s="4" t="s">
        <v>107</v>
      </c>
      <c r="F70" s="4" t="s">
        <v>108</v>
      </c>
      <c r="G70" s="4" t="s">
        <v>48</v>
      </c>
      <c r="H70" s="4">
        <v>1</v>
      </c>
      <c r="I70" s="4">
        <v>299.99</v>
      </c>
      <c r="J70" s="4" t="s">
        <v>28</v>
      </c>
      <c r="K70" s="4" t="s">
        <v>42</v>
      </c>
      <c r="L70" s="4" t="s">
        <v>29</v>
      </c>
      <c r="M70" s="5">
        <v>44891</v>
      </c>
      <c r="N70" s="4">
        <v>299.99</v>
      </c>
      <c r="O70" s="7">
        <f t="shared" ca="1" si="5"/>
        <v>46084.816637962962</v>
      </c>
      <c r="P70" s="8">
        <f t="shared" ca="1" si="6"/>
        <v>46084.816637962962</v>
      </c>
      <c r="Q70">
        <f t="shared" si="7"/>
        <v>168784.56000000017</v>
      </c>
      <c r="R70">
        <f t="shared" si="8"/>
        <v>1.2</v>
      </c>
      <c r="S70">
        <f t="shared" si="9"/>
        <v>359.988</v>
      </c>
      <c r="T70" cm="1">
        <f t="array" ref="T70">SUMPRODUCT(H70:H318*1.2, I70:I318)</f>
        <v>202541.47200000007</v>
      </c>
      <c r="U70" cm="1">
        <f t="array" ref="U70">SUMPRODUCT(H70:H318, I70:I318*0.9)</f>
        <v>151906.10400000002</v>
      </c>
      <c r="V70" cm="1">
        <f t="array" ref="V70">SUMPRODUCT((H70:H318*1.15)*(I70:I318*0.95))</f>
        <v>184397.13180000012</v>
      </c>
      <c r="W70">
        <f>MONTH(Table1[[#This Row],[Date]])</f>
        <v>7</v>
      </c>
    </row>
    <row r="71" spans="1:23" ht="15.75" customHeight="1" x14ac:dyDescent="0.3">
      <c r="A71" s="4" t="s">
        <v>196</v>
      </c>
      <c r="B71" s="5">
        <v>45487</v>
      </c>
      <c r="C71" s="4" t="s">
        <v>194</v>
      </c>
      <c r="D71" s="4" t="s">
        <v>195</v>
      </c>
      <c r="E71" s="4" t="s">
        <v>128</v>
      </c>
      <c r="F71" s="4" t="s">
        <v>129</v>
      </c>
      <c r="G71" s="4" t="s">
        <v>48</v>
      </c>
      <c r="H71" s="4">
        <v>2</v>
      </c>
      <c r="I71" s="4">
        <v>199.99</v>
      </c>
      <c r="J71" s="4" t="s">
        <v>22</v>
      </c>
      <c r="K71" s="4" t="s">
        <v>42</v>
      </c>
      <c r="L71" s="4" t="s">
        <v>24</v>
      </c>
      <c r="M71" s="5">
        <v>44541</v>
      </c>
      <c r="N71" s="4">
        <v>399.98</v>
      </c>
      <c r="O71" s="7">
        <f t="shared" ca="1" si="5"/>
        <v>46084.816637962962</v>
      </c>
      <c r="P71" s="8">
        <f t="shared" ca="1" si="6"/>
        <v>46084.816637962962</v>
      </c>
      <c r="Q71">
        <f t="shared" si="7"/>
        <v>168484.57000000018</v>
      </c>
      <c r="R71">
        <f t="shared" si="8"/>
        <v>2.4</v>
      </c>
      <c r="S71">
        <f t="shared" si="9"/>
        <v>479.976</v>
      </c>
      <c r="T71" cm="1">
        <f t="array" ref="T71">SUMPRODUCT(H71:H319*1.2, I71:I319)</f>
        <v>202181.48400000005</v>
      </c>
      <c r="U71" cm="1">
        <f t="array" ref="U71">SUMPRODUCT(H71:H319, I71:I319*0.9)</f>
        <v>151636.11300000004</v>
      </c>
      <c r="V71" cm="1">
        <f t="array" ref="V71">SUMPRODUCT((H71:H319*1.15)*(I71:I319*0.95))</f>
        <v>184069.39272500013</v>
      </c>
      <c r="W71">
        <f>MONTH(Table1[[#This Row],[Date]])</f>
        <v>7</v>
      </c>
    </row>
    <row r="72" spans="1:23" ht="15.75" customHeight="1" x14ac:dyDescent="0.3">
      <c r="A72" s="4" t="s">
        <v>197</v>
      </c>
      <c r="B72" s="5">
        <v>45490</v>
      </c>
      <c r="C72" s="4" t="s">
        <v>198</v>
      </c>
      <c r="D72" s="4" t="s">
        <v>199</v>
      </c>
      <c r="E72" s="4" t="s">
        <v>33</v>
      </c>
      <c r="F72" s="4" t="s">
        <v>34</v>
      </c>
      <c r="G72" s="4" t="s">
        <v>35</v>
      </c>
      <c r="H72" s="4">
        <v>3</v>
      </c>
      <c r="I72" s="4">
        <v>59.99</v>
      </c>
      <c r="J72" s="4" t="s">
        <v>28</v>
      </c>
      <c r="K72" s="4" t="s">
        <v>52</v>
      </c>
      <c r="L72" s="4" t="s">
        <v>24</v>
      </c>
      <c r="M72" s="5">
        <v>45130</v>
      </c>
      <c r="N72" s="4">
        <v>179.97</v>
      </c>
      <c r="O72" s="7">
        <f t="shared" ca="1" si="5"/>
        <v>46084.816637962962</v>
      </c>
      <c r="P72" s="8">
        <f t="shared" ca="1" si="6"/>
        <v>46084.816637962962</v>
      </c>
      <c r="Q72">
        <f t="shared" si="7"/>
        <v>168084.59000000017</v>
      </c>
      <c r="R72">
        <f t="shared" si="8"/>
        <v>3.5999999999999996</v>
      </c>
      <c r="S72">
        <f t="shared" si="9"/>
        <v>215.964</v>
      </c>
      <c r="T72" cm="1">
        <f t="array" ref="T72">SUMPRODUCT(H72:H320*1.2, I72:I320)</f>
        <v>201701.50800000003</v>
      </c>
      <c r="U72" cm="1">
        <f t="array" ref="U72">SUMPRODUCT(H72:H320, I72:I320*0.9)</f>
        <v>151276.13100000005</v>
      </c>
      <c r="V72" cm="1">
        <f t="array" ref="V72">SUMPRODUCT((H72:H320*1.15)*(I72:I320*0.95))</f>
        <v>183632.41457500012</v>
      </c>
      <c r="W72">
        <f>MONTH(Table1[[#This Row],[Date]])</f>
        <v>7</v>
      </c>
    </row>
    <row r="73" spans="1:23" ht="15.75" customHeight="1" x14ac:dyDescent="0.3">
      <c r="A73" s="4" t="s">
        <v>200</v>
      </c>
      <c r="B73" s="5">
        <v>45490</v>
      </c>
      <c r="C73" s="4" t="s">
        <v>74</v>
      </c>
      <c r="D73" s="4" t="s">
        <v>75</v>
      </c>
      <c r="E73" s="4" t="s">
        <v>46</v>
      </c>
      <c r="F73" s="4" t="s">
        <v>47</v>
      </c>
      <c r="G73" s="4" t="s">
        <v>48</v>
      </c>
      <c r="H73" s="4">
        <v>3</v>
      </c>
      <c r="I73" s="4">
        <v>149.99</v>
      </c>
      <c r="J73" s="4" t="s">
        <v>22</v>
      </c>
      <c r="K73" s="4" t="s">
        <v>23</v>
      </c>
      <c r="L73" s="4" t="s">
        <v>29</v>
      </c>
      <c r="M73" s="5">
        <v>45199</v>
      </c>
      <c r="N73" s="4">
        <v>449.97</v>
      </c>
      <c r="O73" s="7">
        <f t="shared" ca="1" si="5"/>
        <v>46084.816637962962</v>
      </c>
      <c r="P73" s="8">
        <f t="shared" ca="1" si="6"/>
        <v>46084.816637962962</v>
      </c>
      <c r="Q73">
        <f t="shared" si="7"/>
        <v>167904.62000000017</v>
      </c>
      <c r="R73">
        <f t="shared" si="8"/>
        <v>3.5999999999999996</v>
      </c>
      <c r="S73">
        <f t="shared" si="9"/>
        <v>539.96399999999994</v>
      </c>
      <c r="T73" cm="1">
        <f t="array" ref="T73">SUMPRODUCT(H73:H321*1.2, I73:I321)</f>
        <v>201485.54400000002</v>
      </c>
      <c r="U73" cm="1">
        <f t="array" ref="U73">SUMPRODUCT(H73:H321, I73:I321*0.9)</f>
        <v>151114.15800000005</v>
      </c>
      <c r="V73" cm="1">
        <f t="array" ref="V73">SUMPRODUCT((H73:H321*1.15)*(I73:I321*0.95))</f>
        <v>183435.79735000012</v>
      </c>
      <c r="W73">
        <f>MONTH(Table1[[#This Row],[Date]])</f>
        <v>7</v>
      </c>
    </row>
    <row r="74" spans="1:23" ht="15.75" customHeight="1" x14ac:dyDescent="0.3">
      <c r="A74" s="4" t="s">
        <v>201</v>
      </c>
      <c r="B74" s="5">
        <v>45491</v>
      </c>
      <c r="C74" s="4" t="s">
        <v>67</v>
      </c>
      <c r="D74" s="4" t="s">
        <v>68</v>
      </c>
      <c r="E74" s="4" t="s">
        <v>128</v>
      </c>
      <c r="F74" s="4" t="s">
        <v>129</v>
      </c>
      <c r="G74" s="4" t="s">
        <v>48</v>
      </c>
      <c r="H74" s="4">
        <v>3</v>
      </c>
      <c r="I74" s="4">
        <v>199.99</v>
      </c>
      <c r="J74" s="4" t="s">
        <v>22</v>
      </c>
      <c r="K74" s="4" t="s">
        <v>42</v>
      </c>
      <c r="L74" s="4" t="s">
        <v>29</v>
      </c>
      <c r="M74" s="5">
        <v>45254</v>
      </c>
      <c r="N74" s="4">
        <v>599.97</v>
      </c>
      <c r="O74" s="7">
        <f t="shared" ca="1" si="5"/>
        <v>46084.816637962962</v>
      </c>
      <c r="P74" s="8">
        <f t="shared" ca="1" si="6"/>
        <v>46084.816637962962</v>
      </c>
      <c r="Q74">
        <f t="shared" si="7"/>
        <v>167454.6500000002</v>
      </c>
      <c r="R74">
        <f t="shared" si="8"/>
        <v>3.5999999999999996</v>
      </c>
      <c r="S74">
        <f t="shared" si="9"/>
        <v>719.96399999999994</v>
      </c>
      <c r="T74" cm="1">
        <f t="array" ref="T74">SUMPRODUCT(H74:H322*1.2, I74:I322)</f>
        <v>200945.58000000002</v>
      </c>
      <c r="U74" cm="1">
        <f t="array" ref="U74">SUMPRODUCT(H74:H322, I74:I322*0.9)</f>
        <v>150709.18500000006</v>
      </c>
      <c r="V74" cm="1">
        <f t="array" ref="V74">SUMPRODUCT((H74:H322*1.15)*(I74:I322*0.95))</f>
        <v>182944.20512500012</v>
      </c>
      <c r="W74">
        <f>MONTH(Table1[[#This Row],[Date]])</f>
        <v>7</v>
      </c>
    </row>
    <row r="75" spans="1:23" ht="15.75" customHeight="1" x14ac:dyDescent="0.3">
      <c r="A75" s="4" t="s">
        <v>202</v>
      </c>
      <c r="B75" s="5">
        <v>45496</v>
      </c>
      <c r="C75" s="4" t="s">
        <v>152</v>
      </c>
      <c r="D75" s="4" t="s">
        <v>153</v>
      </c>
      <c r="E75" s="4" t="s">
        <v>63</v>
      </c>
      <c r="F75" s="4" t="s">
        <v>64</v>
      </c>
      <c r="G75" s="4" t="s">
        <v>21</v>
      </c>
      <c r="H75" s="4">
        <v>1</v>
      </c>
      <c r="I75" s="4">
        <v>899.99</v>
      </c>
      <c r="J75" s="4" t="s">
        <v>22</v>
      </c>
      <c r="K75" s="4" t="s">
        <v>23</v>
      </c>
      <c r="L75" s="4" t="s">
        <v>38</v>
      </c>
      <c r="M75" s="5">
        <v>45179</v>
      </c>
      <c r="N75" s="4">
        <v>899.99</v>
      </c>
      <c r="O75" s="7">
        <f t="shared" ca="1" si="5"/>
        <v>46084.816637962962</v>
      </c>
      <c r="P75" s="8">
        <f t="shared" ca="1" si="6"/>
        <v>46084.816637962962</v>
      </c>
      <c r="Q75">
        <f t="shared" si="7"/>
        <v>166854.68000000017</v>
      </c>
      <c r="R75">
        <f t="shared" si="8"/>
        <v>1.2</v>
      </c>
      <c r="S75">
        <f t="shared" si="9"/>
        <v>1079.9880000000001</v>
      </c>
      <c r="T75" cm="1">
        <f t="array" ref="T75">SUMPRODUCT(H75:H323*1.2, I75:I323)</f>
        <v>200225.61600000001</v>
      </c>
      <c r="U75" cm="1">
        <f t="array" ref="U75">SUMPRODUCT(H75:H323, I75:I323*0.9)</f>
        <v>150169.21200000006</v>
      </c>
      <c r="V75" cm="1">
        <f t="array" ref="V75">SUMPRODUCT((H75:H323*1.15)*(I75:I323*0.95))</f>
        <v>182288.73790000012</v>
      </c>
      <c r="W75">
        <f>MONTH(Table1[[#This Row],[Date]])</f>
        <v>7</v>
      </c>
    </row>
    <row r="76" spans="1:23" ht="15.75" customHeight="1" x14ac:dyDescent="0.3">
      <c r="A76" s="4" t="s">
        <v>203</v>
      </c>
      <c r="B76" s="5">
        <v>45497</v>
      </c>
      <c r="C76" s="4" t="s">
        <v>26</v>
      </c>
      <c r="D76" s="4" t="s">
        <v>27</v>
      </c>
      <c r="E76" s="4" t="s">
        <v>63</v>
      </c>
      <c r="F76" s="4" t="s">
        <v>64</v>
      </c>
      <c r="G76" s="4" t="s">
        <v>21</v>
      </c>
      <c r="H76" s="4">
        <v>5</v>
      </c>
      <c r="I76" s="4">
        <v>899.99</v>
      </c>
      <c r="J76" s="4" t="s">
        <v>59</v>
      </c>
      <c r="K76" s="4" t="s">
        <v>37</v>
      </c>
      <c r="L76" s="4" t="s">
        <v>38</v>
      </c>
      <c r="M76" s="5">
        <v>44899</v>
      </c>
      <c r="N76" s="4">
        <v>4499.95</v>
      </c>
      <c r="O76" s="7">
        <f t="shared" ca="1" si="5"/>
        <v>46084.816637962962</v>
      </c>
      <c r="P76" s="8">
        <f t="shared" ca="1" si="6"/>
        <v>46084.816637962962</v>
      </c>
      <c r="Q76">
        <f t="shared" si="7"/>
        <v>165954.69000000018</v>
      </c>
      <c r="R76">
        <f t="shared" si="8"/>
        <v>6</v>
      </c>
      <c r="S76">
        <f t="shared" si="9"/>
        <v>5399.9400000000005</v>
      </c>
      <c r="T76" cm="1">
        <f t="array" ref="T76">SUMPRODUCT(H76:H324*1.2, I76:I324)</f>
        <v>199145.62800000003</v>
      </c>
      <c r="U76" cm="1">
        <f t="array" ref="U76">SUMPRODUCT(H76:H324, I76:I324*0.9)</f>
        <v>149359.22100000008</v>
      </c>
      <c r="V76" cm="1">
        <f t="array" ref="V76">SUMPRODUCT((H76:H324*1.15)*(I76:I324*0.95))</f>
        <v>181305.49882500013</v>
      </c>
      <c r="W76">
        <f>MONTH(Table1[[#This Row],[Date]])</f>
        <v>7</v>
      </c>
    </row>
    <row r="77" spans="1:23" ht="15.75" customHeight="1" x14ac:dyDescent="0.3">
      <c r="A77" s="4" t="s">
        <v>204</v>
      </c>
      <c r="B77" s="5">
        <v>45498</v>
      </c>
      <c r="C77" s="4" t="s">
        <v>184</v>
      </c>
      <c r="D77" s="4" t="s">
        <v>185</v>
      </c>
      <c r="E77" s="4" t="s">
        <v>33</v>
      </c>
      <c r="F77" s="4" t="s">
        <v>34</v>
      </c>
      <c r="G77" s="4" t="s">
        <v>35</v>
      </c>
      <c r="H77" s="4">
        <v>2</v>
      </c>
      <c r="I77" s="4">
        <v>59.99</v>
      </c>
      <c r="J77" s="4" t="s">
        <v>22</v>
      </c>
      <c r="K77" s="4" t="s">
        <v>42</v>
      </c>
      <c r="L77" s="4" t="s">
        <v>38</v>
      </c>
      <c r="M77" s="5">
        <v>45152</v>
      </c>
      <c r="N77" s="4">
        <v>119.98</v>
      </c>
      <c r="O77" s="7">
        <f t="shared" ca="1" si="5"/>
        <v>46084.816637962962</v>
      </c>
      <c r="P77" s="8">
        <f t="shared" ca="1" si="6"/>
        <v>46084.816637962962</v>
      </c>
      <c r="Q77">
        <f t="shared" si="7"/>
        <v>161454.74000000017</v>
      </c>
      <c r="R77">
        <f t="shared" si="8"/>
        <v>2.4</v>
      </c>
      <c r="S77">
        <f t="shared" si="9"/>
        <v>143.976</v>
      </c>
      <c r="T77" cm="1">
        <f t="array" ref="T77">SUMPRODUCT(H77:H325*1.2, I77:I325)</f>
        <v>193745.68800000008</v>
      </c>
      <c r="U77" cm="1">
        <f t="array" ref="U77">SUMPRODUCT(H77:H325, I77:I325*0.9)</f>
        <v>145309.26600000009</v>
      </c>
      <c r="V77" cm="1">
        <f t="array" ref="V77">SUMPRODUCT((H77:H325*1.15)*(I77:I325*0.95))</f>
        <v>176389.30345000012</v>
      </c>
      <c r="W77">
        <f>MONTH(Table1[[#This Row],[Date]])</f>
        <v>7</v>
      </c>
    </row>
    <row r="78" spans="1:23" ht="15.75" customHeight="1" x14ac:dyDescent="0.3">
      <c r="A78" s="4" t="s">
        <v>205</v>
      </c>
      <c r="B78" s="5">
        <v>45498</v>
      </c>
      <c r="C78" s="4" t="s">
        <v>198</v>
      </c>
      <c r="D78" s="4" t="s">
        <v>199</v>
      </c>
      <c r="E78" s="4" t="s">
        <v>19</v>
      </c>
      <c r="F78" s="4" t="s">
        <v>20</v>
      </c>
      <c r="G78" s="4" t="s">
        <v>21</v>
      </c>
      <c r="H78" s="4">
        <v>4</v>
      </c>
      <c r="I78" s="4">
        <v>249.99</v>
      </c>
      <c r="J78" s="4" t="s">
        <v>59</v>
      </c>
      <c r="K78" s="4" t="s">
        <v>23</v>
      </c>
      <c r="L78" s="4" t="s">
        <v>38</v>
      </c>
      <c r="M78" s="5">
        <v>45127</v>
      </c>
      <c r="N78" s="4">
        <v>999.96</v>
      </c>
      <c r="O78" s="7">
        <f t="shared" ca="1" si="5"/>
        <v>46084.816637962962</v>
      </c>
      <c r="P78" s="8">
        <f t="shared" ca="1" si="6"/>
        <v>46084.816637962962</v>
      </c>
      <c r="Q78">
        <f t="shared" si="7"/>
        <v>161334.76000000018</v>
      </c>
      <c r="R78">
        <f t="shared" si="8"/>
        <v>4.8</v>
      </c>
      <c r="S78">
        <f t="shared" si="9"/>
        <v>1199.952</v>
      </c>
      <c r="T78" cm="1">
        <f t="array" ref="T78">SUMPRODUCT(H78:H326*1.2, I78:I326)</f>
        <v>193601.71200000006</v>
      </c>
      <c r="U78" cm="1">
        <f t="array" ref="U78">SUMPRODUCT(H78:H326, I78:I326*0.9)</f>
        <v>145201.2840000001</v>
      </c>
      <c r="V78" cm="1">
        <f t="array" ref="V78">SUMPRODUCT((H78:H326*1.15)*(I78:I326*0.95))</f>
        <v>176258.22530000014</v>
      </c>
      <c r="W78">
        <f>MONTH(Table1[[#This Row],[Date]])</f>
        <v>7</v>
      </c>
    </row>
    <row r="79" spans="1:23" ht="15.75" customHeight="1" x14ac:dyDescent="0.3">
      <c r="A79" s="4" t="s">
        <v>206</v>
      </c>
      <c r="B79" s="5">
        <v>45500</v>
      </c>
      <c r="C79" s="4" t="s">
        <v>98</v>
      </c>
      <c r="D79" s="4" t="s">
        <v>99</v>
      </c>
      <c r="E79" s="4" t="s">
        <v>19</v>
      </c>
      <c r="F79" s="4" t="s">
        <v>20</v>
      </c>
      <c r="G79" s="4" t="s">
        <v>21</v>
      </c>
      <c r="H79" s="4">
        <v>2</v>
      </c>
      <c r="I79" s="4">
        <v>249.99</v>
      </c>
      <c r="J79" s="4" t="s">
        <v>22</v>
      </c>
      <c r="K79" s="4" t="s">
        <v>42</v>
      </c>
      <c r="L79" s="4" t="s">
        <v>29</v>
      </c>
      <c r="M79" s="5">
        <v>45164</v>
      </c>
      <c r="N79" s="4">
        <v>499.98</v>
      </c>
      <c r="O79" s="7">
        <f t="shared" ca="1" si="5"/>
        <v>46084.816637962962</v>
      </c>
      <c r="P79" s="8">
        <f t="shared" ca="1" si="6"/>
        <v>46084.816637962962</v>
      </c>
      <c r="Q79">
        <f t="shared" si="7"/>
        <v>160334.80000000016</v>
      </c>
      <c r="R79">
        <f t="shared" si="8"/>
        <v>2.4</v>
      </c>
      <c r="S79">
        <f t="shared" si="9"/>
        <v>599.976</v>
      </c>
      <c r="T79" cm="1">
        <f t="array" ref="T79">SUMPRODUCT(H79:H327*1.2, I79:I327)</f>
        <v>192401.76000000007</v>
      </c>
      <c r="U79" cm="1">
        <f t="array" ref="U79">SUMPRODUCT(H79:H327, I79:I327*0.9)</f>
        <v>144301.32000000012</v>
      </c>
      <c r="V79" cm="1">
        <f t="array" ref="V79">SUMPRODUCT((H79:H327*1.15)*(I79:I327*0.95))</f>
        <v>175165.76900000009</v>
      </c>
      <c r="W79">
        <f>MONTH(Table1[[#This Row],[Date]])</f>
        <v>7</v>
      </c>
    </row>
    <row r="80" spans="1:23" ht="15.75" customHeight="1" x14ac:dyDescent="0.3">
      <c r="A80" s="4" t="s">
        <v>207</v>
      </c>
      <c r="B80" s="5">
        <v>45500</v>
      </c>
      <c r="C80" s="4" t="s">
        <v>149</v>
      </c>
      <c r="D80" s="4" t="s">
        <v>150</v>
      </c>
      <c r="E80" s="4" t="s">
        <v>107</v>
      </c>
      <c r="F80" s="4" t="s">
        <v>108</v>
      </c>
      <c r="G80" s="4" t="s">
        <v>48</v>
      </c>
      <c r="H80" s="4">
        <v>1</v>
      </c>
      <c r="I80" s="4">
        <v>299.99</v>
      </c>
      <c r="J80" s="4" t="s">
        <v>22</v>
      </c>
      <c r="K80" s="4" t="s">
        <v>37</v>
      </c>
      <c r="L80" s="4" t="s">
        <v>24</v>
      </c>
      <c r="M80" s="5">
        <v>44982</v>
      </c>
      <c r="N80" s="4">
        <v>299.99</v>
      </c>
      <c r="O80" s="7">
        <f t="shared" ca="1" si="5"/>
        <v>46084.816637962962</v>
      </c>
      <c r="P80" s="8">
        <f t="shared" ca="1" si="6"/>
        <v>46084.816637962962</v>
      </c>
      <c r="Q80">
        <f t="shared" si="7"/>
        <v>159834.82000000018</v>
      </c>
      <c r="R80">
        <f t="shared" si="8"/>
        <v>1.2</v>
      </c>
      <c r="S80">
        <f t="shared" si="9"/>
        <v>359.988</v>
      </c>
      <c r="T80" cm="1">
        <f t="array" ref="T80">SUMPRODUCT(H80:H328*1.2, I80:I328)</f>
        <v>191801.78400000007</v>
      </c>
      <c r="U80" cm="1">
        <f t="array" ref="U80">SUMPRODUCT(H80:H328, I80:I328*0.9)</f>
        <v>143851.33800000011</v>
      </c>
      <c r="V80" cm="1">
        <f t="array" ref="V80">SUMPRODUCT((H80:H328*1.15)*(I80:I328*0.95))</f>
        <v>174619.54085000008</v>
      </c>
      <c r="W80">
        <f>MONTH(Table1[[#This Row],[Date]])</f>
        <v>7</v>
      </c>
    </row>
    <row r="81" spans="1:23" ht="15.75" customHeight="1" x14ac:dyDescent="0.3">
      <c r="A81" s="4" t="s">
        <v>208</v>
      </c>
      <c r="B81" s="5">
        <v>45501</v>
      </c>
      <c r="C81" s="4" t="s">
        <v>88</v>
      </c>
      <c r="D81" s="4" t="s">
        <v>89</v>
      </c>
      <c r="E81" s="4" t="s">
        <v>119</v>
      </c>
      <c r="F81" s="4" t="s">
        <v>120</v>
      </c>
      <c r="G81" s="4" t="s">
        <v>21</v>
      </c>
      <c r="H81" s="4">
        <v>2</v>
      </c>
      <c r="I81" s="4">
        <v>89.99</v>
      </c>
      <c r="J81" s="4" t="s">
        <v>36</v>
      </c>
      <c r="K81" s="4" t="s">
        <v>37</v>
      </c>
      <c r="L81" s="4" t="s">
        <v>24</v>
      </c>
      <c r="M81" s="5">
        <v>44976</v>
      </c>
      <c r="N81" s="4">
        <v>179.98</v>
      </c>
      <c r="O81" s="7">
        <f t="shared" ca="1" si="5"/>
        <v>46084.816637962962</v>
      </c>
      <c r="P81" s="8">
        <f t="shared" ca="1" si="6"/>
        <v>46084.816637962962</v>
      </c>
      <c r="Q81">
        <f t="shared" si="7"/>
        <v>159534.83000000019</v>
      </c>
      <c r="R81">
        <f t="shared" si="8"/>
        <v>2.4</v>
      </c>
      <c r="S81">
        <f t="shared" si="9"/>
        <v>215.97599999999997</v>
      </c>
      <c r="T81" cm="1">
        <f t="array" ref="T81">SUMPRODUCT(H81:H329*1.2, I81:I329)</f>
        <v>191441.79600000006</v>
      </c>
      <c r="U81" cm="1">
        <f t="array" ref="U81">SUMPRODUCT(H81:H329, I81:I329*0.9)</f>
        <v>143581.34700000013</v>
      </c>
      <c r="V81" cm="1">
        <f t="array" ref="V81">SUMPRODUCT((H81:H329*1.15)*(I81:I329*0.95))</f>
        <v>174291.80177500009</v>
      </c>
      <c r="W81">
        <f>MONTH(Table1[[#This Row],[Date]])</f>
        <v>7</v>
      </c>
    </row>
    <row r="82" spans="1:23" ht="15.75" customHeight="1" x14ac:dyDescent="0.3">
      <c r="A82" s="4" t="s">
        <v>209</v>
      </c>
      <c r="B82" s="5">
        <v>45501</v>
      </c>
      <c r="C82" s="4" t="s">
        <v>149</v>
      </c>
      <c r="D82" s="4" t="s">
        <v>150</v>
      </c>
      <c r="E82" s="4" t="s">
        <v>107</v>
      </c>
      <c r="F82" s="4" t="s">
        <v>108</v>
      </c>
      <c r="G82" s="4" t="s">
        <v>48</v>
      </c>
      <c r="H82" s="4">
        <v>3</v>
      </c>
      <c r="I82" s="4">
        <v>299.99</v>
      </c>
      <c r="J82" s="4" t="s">
        <v>22</v>
      </c>
      <c r="K82" s="4" t="s">
        <v>23</v>
      </c>
      <c r="L82" s="4" t="s">
        <v>24</v>
      </c>
      <c r="M82" s="5">
        <v>44732</v>
      </c>
      <c r="N82" s="4">
        <v>899.97</v>
      </c>
      <c r="O82" s="7">
        <f t="shared" ca="1" si="5"/>
        <v>46084.816637962962</v>
      </c>
      <c r="P82" s="8">
        <f t="shared" ca="1" si="6"/>
        <v>46084.816637962962</v>
      </c>
      <c r="Q82">
        <f t="shared" si="7"/>
        <v>159354.85000000018</v>
      </c>
      <c r="R82">
        <f t="shared" si="8"/>
        <v>3.5999999999999996</v>
      </c>
      <c r="S82">
        <f t="shared" si="9"/>
        <v>1079.9639999999999</v>
      </c>
      <c r="T82" cm="1">
        <f t="array" ref="T82">SUMPRODUCT(H82:H330*1.2, I82:I330)</f>
        <v>191225.82000000007</v>
      </c>
      <c r="U82" cm="1">
        <f t="array" ref="U82">SUMPRODUCT(H82:H330, I82:I330*0.9)</f>
        <v>143419.36500000011</v>
      </c>
      <c r="V82" cm="1">
        <f t="array" ref="V82">SUMPRODUCT((H82:H330*1.15)*(I82:I330*0.95))</f>
        <v>174095.17362500008</v>
      </c>
      <c r="W82">
        <f>MONTH(Table1[[#This Row],[Date]])</f>
        <v>7</v>
      </c>
    </row>
    <row r="83" spans="1:23" ht="15.75" customHeight="1" x14ac:dyDescent="0.3">
      <c r="A83" s="4" t="s">
        <v>210</v>
      </c>
      <c r="B83" s="5">
        <v>45503</v>
      </c>
      <c r="C83" s="4" t="s">
        <v>88</v>
      </c>
      <c r="D83" s="4" t="s">
        <v>89</v>
      </c>
      <c r="E83" s="4" t="s">
        <v>82</v>
      </c>
      <c r="F83" s="4" t="s">
        <v>83</v>
      </c>
      <c r="G83" s="4" t="s">
        <v>21</v>
      </c>
      <c r="H83" s="4">
        <v>2</v>
      </c>
      <c r="I83" s="4">
        <v>699.99</v>
      </c>
      <c r="J83" s="4" t="s">
        <v>28</v>
      </c>
      <c r="K83" s="4" t="s">
        <v>42</v>
      </c>
      <c r="L83" s="4" t="s">
        <v>29</v>
      </c>
      <c r="M83" s="5">
        <v>44999</v>
      </c>
      <c r="N83" s="4">
        <v>1399.98</v>
      </c>
      <c r="O83" s="7">
        <f t="shared" ca="1" si="5"/>
        <v>46084.816637962962</v>
      </c>
      <c r="P83" s="8">
        <f t="shared" ca="1" si="6"/>
        <v>46084.816637962962</v>
      </c>
      <c r="Q83">
        <f t="shared" si="7"/>
        <v>158454.88000000018</v>
      </c>
      <c r="R83">
        <f t="shared" si="8"/>
        <v>2.4</v>
      </c>
      <c r="S83">
        <f t="shared" si="9"/>
        <v>1679.9759999999999</v>
      </c>
      <c r="T83" cm="1">
        <f t="array" ref="T83">SUMPRODUCT(H83:H331*1.2, I83:I331)</f>
        <v>190145.85600000006</v>
      </c>
      <c r="U83" cm="1">
        <f t="array" ref="U83">SUMPRODUCT(H83:H331, I83:I331*0.9)</f>
        <v>142609.39200000011</v>
      </c>
      <c r="V83" cm="1">
        <f t="array" ref="V83">SUMPRODUCT((H83:H331*1.15)*(I83:I331*0.95))</f>
        <v>173111.95640000008</v>
      </c>
      <c r="W83">
        <f>MONTH(Table1[[#This Row],[Date]])</f>
        <v>7</v>
      </c>
    </row>
    <row r="84" spans="1:23" ht="15.75" customHeight="1" x14ac:dyDescent="0.3">
      <c r="A84" s="4" t="s">
        <v>211</v>
      </c>
      <c r="B84" s="5">
        <v>45504</v>
      </c>
      <c r="C84" s="4" t="s">
        <v>122</v>
      </c>
      <c r="D84" s="4" t="s">
        <v>123</v>
      </c>
      <c r="E84" s="4" t="s">
        <v>63</v>
      </c>
      <c r="F84" s="4" t="s">
        <v>64</v>
      </c>
      <c r="G84" s="4" t="s">
        <v>21</v>
      </c>
      <c r="H84" s="4">
        <v>4</v>
      </c>
      <c r="I84" s="4">
        <v>899.99</v>
      </c>
      <c r="J84" s="4" t="s">
        <v>59</v>
      </c>
      <c r="K84" s="4" t="s">
        <v>37</v>
      </c>
      <c r="L84" s="4" t="s">
        <v>38</v>
      </c>
      <c r="M84" s="5">
        <v>44523</v>
      </c>
      <c r="N84" s="4">
        <v>3599.96</v>
      </c>
      <c r="O84" s="7">
        <f t="shared" ca="1" si="5"/>
        <v>46084.816637962962</v>
      </c>
      <c r="P84" s="8">
        <f t="shared" ca="1" si="6"/>
        <v>46084.816637962962</v>
      </c>
      <c r="Q84">
        <f t="shared" si="7"/>
        <v>157054.90000000014</v>
      </c>
      <c r="R84">
        <f t="shared" si="8"/>
        <v>4.8</v>
      </c>
      <c r="S84">
        <f t="shared" si="9"/>
        <v>4319.9520000000002</v>
      </c>
      <c r="T84" cm="1">
        <f t="array" ref="T84">SUMPRODUCT(H84:H332*1.2, I84:I332)</f>
        <v>188465.88000000006</v>
      </c>
      <c r="U84" cm="1">
        <f t="array" ref="U84">SUMPRODUCT(H84:H332, I84:I332*0.9)</f>
        <v>141349.41000000009</v>
      </c>
      <c r="V84" cm="1">
        <f t="array" ref="V84">SUMPRODUCT((H84:H332*1.15)*(I84:I332*0.95))</f>
        <v>171582.4782500001</v>
      </c>
      <c r="W84">
        <f>MONTH(Table1[[#This Row],[Date]])</f>
        <v>7</v>
      </c>
    </row>
    <row r="85" spans="1:23" ht="15.75" customHeight="1" x14ac:dyDescent="0.3">
      <c r="A85" s="4" t="s">
        <v>212</v>
      </c>
      <c r="B85" s="5">
        <v>45509</v>
      </c>
      <c r="C85" s="4" t="s">
        <v>213</v>
      </c>
      <c r="D85" s="4" t="s">
        <v>214</v>
      </c>
      <c r="E85" s="4" t="s">
        <v>46</v>
      </c>
      <c r="F85" s="4" t="s">
        <v>47</v>
      </c>
      <c r="G85" s="4" t="s">
        <v>48</v>
      </c>
      <c r="H85" s="4">
        <v>2</v>
      </c>
      <c r="I85" s="4">
        <v>149.99</v>
      </c>
      <c r="J85" s="4" t="s">
        <v>28</v>
      </c>
      <c r="K85" s="4" t="s">
        <v>52</v>
      </c>
      <c r="L85" s="4" t="s">
        <v>24</v>
      </c>
      <c r="M85" s="5">
        <v>44542</v>
      </c>
      <c r="N85" s="4">
        <v>299.98</v>
      </c>
      <c r="O85" s="7">
        <f t="shared" ca="1" si="5"/>
        <v>46084.816637962962</v>
      </c>
      <c r="P85" s="8">
        <f t="shared" ca="1" si="6"/>
        <v>46084.816637962962</v>
      </c>
      <c r="Q85">
        <f t="shared" si="7"/>
        <v>153454.94000000009</v>
      </c>
      <c r="R85">
        <f t="shared" si="8"/>
        <v>2.4</v>
      </c>
      <c r="S85">
        <f t="shared" si="9"/>
        <v>359.976</v>
      </c>
      <c r="T85" cm="1">
        <f t="array" ref="T85">SUMPRODUCT(H85:H333*1.2, I85:I333)</f>
        <v>184145.92800000007</v>
      </c>
      <c r="U85" cm="1">
        <f t="array" ref="U85">SUMPRODUCT(H85:H333, I85:I333*0.9)</f>
        <v>138109.44600000008</v>
      </c>
      <c r="V85" cm="1">
        <f t="array" ref="V85">SUMPRODUCT((H85:H333*1.15)*(I85:I333*0.95))</f>
        <v>167649.52195000008</v>
      </c>
      <c r="W85">
        <f>MONTH(Table1[[#This Row],[Date]])</f>
        <v>8</v>
      </c>
    </row>
    <row r="86" spans="1:23" ht="15.75" customHeight="1" x14ac:dyDescent="0.3">
      <c r="A86" s="4" t="s">
        <v>215</v>
      </c>
      <c r="B86" s="5">
        <v>45510</v>
      </c>
      <c r="C86" s="4" t="s">
        <v>104</v>
      </c>
      <c r="D86" s="4" t="s">
        <v>105</v>
      </c>
      <c r="E86" s="4" t="s">
        <v>46</v>
      </c>
      <c r="F86" s="4" t="s">
        <v>47</v>
      </c>
      <c r="G86" s="4" t="s">
        <v>48</v>
      </c>
      <c r="H86" s="4">
        <v>2</v>
      </c>
      <c r="I86" s="4">
        <v>149.99</v>
      </c>
      <c r="J86" s="4" t="s">
        <v>59</v>
      </c>
      <c r="K86" s="4" t="s">
        <v>65</v>
      </c>
      <c r="L86" s="4" t="s">
        <v>38</v>
      </c>
      <c r="M86" s="5">
        <v>44667</v>
      </c>
      <c r="N86" s="4">
        <v>299.98</v>
      </c>
      <c r="O86" s="7">
        <f t="shared" ca="1" si="5"/>
        <v>46084.816637962962</v>
      </c>
      <c r="P86" s="8">
        <f t="shared" ca="1" si="6"/>
        <v>46084.816637962962</v>
      </c>
      <c r="Q86">
        <f t="shared" si="7"/>
        <v>153154.96000000011</v>
      </c>
      <c r="R86">
        <f t="shared" si="8"/>
        <v>2.4</v>
      </c>
      <c r="S86">
        <f t="shared" si="9"/>
        <v>359.976</v>
      </c>
      <c r="T86" cm="1">
        <f t="array" ref="T86">SUMPRODUCT(H86:H334*1.2, I86:I334)</f>
        <v>183785.95200000008</v>
      </c>
      <c r="U86" cm="1">
        <f t="array" ref="U86">SUMPRODUCT(H86:H334, I86:I334*0.9)</f>
        <v>137839.46400000007</v>
      </c>
      <c r="V86" cm="1">
        <f t="array" ref="V86">SUMPRODUCT((H86:H334*1.15)*(I86:I334*0.95))</f>
        <v>167321.79380000007</v>
      </c>
      <c r="W86">
        <f>MONTH(Table1[[#This Row],[Date]])</f>
        <v>8</v>
      </c>
    </row>
    <row r="87" spans="1:23" ht="15.75" customHeight="1" x14ac:dyDescent="0.3">
      <c r="A87" s="4" t="s">
        <v>216</v>
      </c>
      <c r="B87" s="5">
        <v>45513</v>
      </c>
      <c r="C87" s="4" t="s">
        <v>91</v>
      </c>
      <c r="D87" s="4" t="s">
        <v>92</v>
      </c>
      <c r="E87" s="4" t="s">
        <v>119</v>
      </c>
      <c r="F87" s="4" t="s">
        <v>120</v>
      </c>
      <c r="G87" s="4" t="s">
        <v>21</v>
      </c>
      <c r="H87" s="4">
        <v>1</v>
      </c>
      <c r="I87" s="4">
        <v>89.99</v>
      </c>
      <c r="J87" s="4" t="s">
        <v>28</v>
      </c>
      <c r="K87" s="4" t="s">
        <v>42</v>
      </c>
      <c r="L87" s="4" t="s">
        <v>38</v>
      </c>
      <c r="M87" s="5">
        <v>45393</v>
      </c>
      <c r="N87" s="4">
        <v>89.99</v>
      </c>
      <c r="O87" s="7">
        <f t="shared" ca="1" si="5"/>
        <v>46084.816637962962</v>
      </c>
      <c r="P87" s="8">
        <f t="shared" ca="1" si="6"/>
        <v>46084.816637962962</v>
      </c>
      <c r="Q87">
        <f t="shared" si="7"/>
        <v>152854.9800000001</v>
      </c>
      <c r="R87">
        <f t="shared" si="8"/>
        <v>1.2</v>
      </c>
      <c r="S87">
        <f t="shared" si="9"/>
        <v>107.98799999999999</v>
      </c>
      <c r="T87" cm="1">
        <f t="array" ref="T87">SUMPRODUCT(H87:H335*1.2, I87:I335)</f>
        <v>183425.97600000008</v>
      </c>
      <c r="U87" cm="1">
        <f t="array" ref="U87">SUMPRODUCT(H87:H335, I87:I335*0.9)</f>
        <v>137569.48200000008</v>
      </c>
      <c r="V87" cm="1">
        <f t="array" ref="V87">SUMPRODUCT((H87:H335*1.15)*(I87:I335*0.95))</f>
        <v>166994.06565000009</v>
      </c>
      <c r="W87">
        <f>MONTH(Table1[[#This Row],[Date]])</f>
        <v>8</v>
      </c>
    </row>
    <row r="88" spans="1:23" ht="15.75" customHeight="1" x14ac:dyDescent="0.3">
      <c r="A88" s="4" t="s">
        <v>217</v>
      </c>
      <c r="B88" s="5">
        <v>45515</v>
      </c>
      <c r="C88" s="4" t="s">
        <v>88</v>
      </c>
      <c r="D88" s="4" t="s">
        <v>89</v>
      </c>
      <c r="E88" s="4" t="s">
        <v>107</v>
      </c>
      <c r="F88" s="4" t="s">
        <v>108</v>
      </c>
      <c r="G88" s="4" t="s">
        <v>48</v>
      </c>
      <c r="H88" s="4">
        <v>5</v>
      </c>
      <c r="I88" s="4">
        <v>299.99</v>
      </c>
      <c r="J88" s="4" t="s">
        <v>28</v>
      </c>
      <c r="K88" s="4" t="s">
        <v>42</v>
      </c>
      <c r="L88" s="4" t="s">
        <v>24</v>
      </c>
      <c r="M88" s="5">
        <v>44965</v>
      </c>
      <c r="N88" s="4">
        <v>1499.95</v>
      </c>
      <c r="O88" s="7">
        <f t="shared" ca="1" si="5"/>
        <v>46084.816637962962</v>
      </c>
      <c r="P88" s="8">
        <f t="shared" ca="1" si="6"/>
        <v>46084.816637962962</v>
      </c>
      <c r="Q88">
        <f t="shared" si="7"/>
        <v>152764.99000000011</v>
      </c>
      <c r="R88">
        <f t="shared" si="8"/>
        <v>6</v>
      </c>
      <c r="S88">
        <f t="shared" si="9"/>
        <v>1799.94</v>
      </c>
      <c r="T88" cm="1">
        <f t="array" ref="T88">SUMPRODUCT(H88:H336*1.2, I88:I336)</f>
        <v>183317.98800000007</v>
      </c>
      <c r="U88" cm="1">
        <f t="array" ref="U88">SUMPRODUCT(H88:H336, I88:I336*0.9)</f>
        <v>137488.49100000007</v>
      </c>
      <c r="V88" cm="1">
        <f t="array" ref="V88">SUMPRODUCT((H88:H336*1.15)*(I88:I336*0.95))</f>
        <v>166895.75157500009</v>
      </c>
      <c r="W88">
        <f>MONTH(Table1[[#This Row],[Date]])</f>
        <v>8</v>
      </c>
    </row>
    <row r="89" spans="1:23" ht="15.75" customHeight="1" x14ac:dyDescent="0.3">
      <c r="A89" s="4" t="s">
        <v>218</v>
      </c>
      <c r="B89" s="5">
        <v>45517</v>
      </c>
      <c r="C89" s="4" t="s">
        <v>184</v>
      </c>
      <c r="D89" s="4" t="s">
        <v>185</v>
      </c>
      <c r="E89" s="4" t="s">
        <v>54</v>
      </c>
      <c r="F89" s="4" t="s">
        <v>55</v>
      </c>
      <c r="G89" s="4" t="s">
        <v>21</v>
      </c>
      <c r="H89" s="4">
        <v>4</v>
      </c>
      <c r="I89" s="4">
        <v>149.99</v>
      </c>
      <c r="J89" s="4" t="s">
        <v>59</v>
      </c>
      <c r="K89" s="4" t="s">
        <v>37</v>
      </c>
      <c r="L89" s="4" t="s">
        <v>29</v>
      </c>
      <c r="M89" s="5">
        <v>44820</v>
      </c>
      <c r="N89" s="4">
        <v>599.96</v>
      </c>
      <c r="O89" s="7">
        <f t="shared" ca="1" si="5"/>
        <v>46084.816637962962</v>
      </c>
      <c r="P89" s="8">
        <f t="shared" ca="1" si="6"/>
        <v>46084.816637962962</v>
      </c>
      <c r="Q89">
        <f t="shared" si="7"/>
        <v>151265.04000000007</v>
      </c>
      <c r="R89">
        <f t="shared" si="8"/>
        <v>4.8</v>
      </c>
      <c r="S89">
        <f t="shared" si="9"/>
        <v>719.952</v>
      </c>
      <c r="T89" cm="1">
        <f t="array" ref="T89">SUMPRODUCT(H89:H337*1.2, I89:I337)</f>
        <v>181518.04800000004</v>
      </c>
      <c r="U89" cm="1">
        <f t="array" ref="U89">SUMPRODUCT(H89:H337, I89:I337*0.9)</f>
        <v>136138.53600000011</v>
      </c>
      <c r="V89" cm="1">
        <f t="array" ref="V89">SUMPRODUCT((H89:H337*1.15)*(I89:I337*0.95))</f>
        <v>165257.05620000008</v>
      </c>
      <c r="W89">
        <f>MONTH(Table1[[#This Row],[Date]])</f>
        <v>8</v>
      </c>
    </row>
    <row r="90" spans="1:23" ht="15.75" customHeight="1" x14ac:dyDescent="0.3">
      <c r="A90" s="4" t="s">
        <v>219</v>
      </c>
      <c r="B90" s="5">
        <v>45517</v>
      </c>
      <c r="C90" s="4" t="s">
        <v>187</v>
      </c>
      <c r="D90" s="4" t="s">
        <v>188</v>
      </c>
      <c r="E90" s="4" t="s">
        <v>19</v>
      </c>
      <c r="F90" s="4" t="s">
        <v>20</v>
      </c>
      <c r="G90" s="4" t="s">
        <v>21</v>
      </c>
      <c r="H90" s="4">
        <v>5</v>
      </c>
      <c r="I90" s="4">
        <v>249.99</v>
      </c>
      <c r="J90" s="4" t="s">
        <v>36</v>
      </c>
      <c r="K90" s="4" t="s">
        <v>65</v>
      </c>
      <c r="L90" s="4" t="s">
        <v>29</v>
      </c>
      <c r="M90" s="5">
        <v>44782</v>
      </c>
      <c r="N90" s="4">
        <v>1249.95</v>
      </c>
      <c r="O90" s="7">
        <f t="shared" ca="1" si="5"/>
        <v>46084.816637962962</v>
      </c>
      <c r="P90" s="8">
        <f t="shared" ca="1" si="6"/>
        <v>46084.816637962962</v>
      </c>
      <c r="Q90">
        <f t="shared" si="7"/>
        <v>150665.08000000005</v>
      </c>
      <c r="R90">
        <f t="shared" si="8"/>
        <v>6</v>
      </c>
      <c r="S90">
        <f t="shared" si="9"/>
        <v>1499.94</v>
      </c>
      <c r="T90" cm="1">
        <f t="array" ref="T90">SUMPRODUCT(H90:H338*1.2, I90:I338)</f>
        <v>180798.09600000005</v>
      </c>
      <c r="U90" cm="1">
        <f t="array" ref="U90">SUMPRODUCT(H90:H338, I90:I338*0.9)</f>
        <v>135598.57200000013</v>
      </c>
      <c r="V90" cm="1">
        <f t="array" ref="V90">SUMPRODUCT((H90:H338*1.15)*(I90:I338*0.95))</f>
        <v>164601.59990000009</v>
      </c>
      <c r="W90">
        <f>MONTH(Table1[[#This Row],[Date]])</f>
        <v>8</v>
      </c>
    </row>
    <row r="91" spans="1:23" ht="15.75" customHeight="1" x14ac:dyDescent="0.3">
      <c r="A91" s="4" t="s">
        <v>220</v>
      </c>
      <c r="B91" s="5">
        <v>45517</v>
      </c>
      <c r="C91" s="4" t="s">
        <v>67</v>
      </c>
      <c r="D91" s="4" t="s">
        <v>68</v>
      </c>
      <c r="E91" s="4" t="s">
        <v>19</v>
      </c>
      <c r="F91" s="4" t="s">
        <v>20</v>
      </c>
      <c r="G91" s="4" t="s">
        <v>21</v>
      </c>
      <c r="H91" s="4">
        <v>3</v>
      </c>
      <c r="I91" s="4">
        <v>249.99</v>
      </c>
      <c r="J91" s="4" t="s">
        <v>36</v>
      </c>
      <c r="K91" s="4" t="s">
        <v>42</v>
      </c>
      <c r="L91" s="4" t="s">
        <v>29</v>
      </c>
      <c r="M91" s="5">
        <v>44465</v>
      </c>
      <c r="N91" s="4">
        <v>749.97</v>
      </c>
      <c r="O91" s="7">
        <f t="shared" ca="1" si="5"/>
        <v>46084.816637962962</v>
      </c>
      <c r="P91" s="8">
        <f t="shared" ca="1" si="6"/>
        <v>46084.816637962962</v>
      </c>
      <c r="Q91">
        <f t="shared" si="7"/>
        <v>149415.13000000006</v>
      </c>
      <c r="R91">
        <f t="shared" si="8"/>
        <v>3.5999999999999996</v>
      </c>
      <c r="S91">
        <f t="shared" si="9"/>
        <v>899.96399999999994</v>
      </c>
      <c r="T91" cm="1">
        <f t="array" ref="T91">SUMPRODUCT(H91:H339*1.2, I91:I339)</f>
        <v>179298.15600000005</v>
      </c>
      <c r="U91" cm="1">
        <f t="array" ref="U91">SUMPRODUCT(H91:H339, I91:I339*0.9)</f>
        <v>134473.61700000011</v>
      </c>
      <c r="V91" cm="1">
        <f t="array" ref="V91">SUMPRODUCT((H91:H339*1.15)*(I91:I339*0.95))</f>
        <v>163236.02952500011</v>
      </c>
      <c r="W91">
        <f>MONTH(Table1[[#This Row],[Date]])</f>
        <v>8</v>
      </c>
    </row>
    <row r="92" spans="1:23" ht="15.75" customHeight="1" x14ac:dyDescent="0.3">
      <c r="A92" s="4" t="s">
        <v>221</v>
      </c>
      <c r="B92" s="5">
        <v>45517</v>
      </c>
      <c r="C92" s="4" t="s">
        <v>40</v>
      </c>
      <c r="D92" s="4" t="s">
        <v>41</v>
      </c>
      <c r="E92" s="4" t="s">
        <v>128</v>
      </c>
      <c r="F92" s="4" t="s">
        <v>129</v>
      </c>
      <c r="G92" s="4" t="s">
        <v>48</v>
      </c>
      <c r="H92" s="4">
        <v>4</v>
      </c>
      <c r="I92" s="4">
        <v>199.99</v>
      </c>
      <c r="J92" s="4" t="s">
        <v>22</v>
      </c>
      <c r="K92" s="4" t="s">
        <v>42</v>
      </c>
      <c r="L92" s="4" t="s">
        <v>38</v>
      </c>
      <c r="M92" s="5">
        <v>44458</v>
      </c>
      <c r="N92" s="4">
        <v>799.96</v>
      </c>
      <c r="O92" s="7">
        <f t="shared" ca="1" si="5"/>
        <v>46084.816637962962</v>
      </c>
      <c r="P92" s="8">
        <f t="shared" ca="1" si="6"/>
        <v>46084.816637962962</v>
      </c>
      <c r="Q92">
        <f t="shared" si="7"/>
        <v>148665.16000000006</v>
      </c>
      <c r="R92">
        <f t="shared" si="8"/>
        <v>4.8</v>
      </c>
      <c r="S92">
        <f t="shared" si="9"/>
        <v>959.952</v>
      </c>
      <c r="T92" cm="1">
        <f t="array" ref="T92">SUMPRODUCT(H92:H340*1.2, I92:I340)</f>
        <v>178398.19200000004</v>
      </c>
      <c r="U92" cm="1">
        <f t="array" ref="U92">SUMPRODUCT(H92:H340, I92:I340*0.9)</f>
        <v>133798.64400000012</v>
      </c>
      <c r="V92" cm="1">
        <f t="array" ref="V92">SUMPRODUCT((H92:H340*1.15)*(I92:I340*0.95))</f>
        <v>162416.68730000014</v>
      </c>
      <c r="W92">
        <f>MONTH(Table1[[#This Row],[Date]])</f>
        <v>8</v>
      </c>
    </row>
    <row r="93" spans="1:23" ht="15.75" customHeight="1" x14ac:dyDescent="0.3">
      <c r="A93" s="4" t="s">
        <v>222</v>
      </c>
      <c r="B93" s="5">
        <v>45519</v>
      </c>
      <c r="C93" s="4" t="s">
        <v>160</v>
      </c>
      <c r="D93" s="4" t="s">
        <v>161</v>
      </c>
      <c r="E93" s="4" t="s">
        <v>128</v>
      </c>
      <c r="F93" s="4" t="s">
        <v>129</v>
      </c>
      <c r="G93" s="4" t="s">
        <v>48</v>
      </c>
      <c r="H93" s="4">
        <v>5</v>
      </c>
      <c r="I93" s="4">
        <v>199.99</v>
      </c>
      <c r="J93" s="4" t="s">
        <v>22</v>
      </c>
      <c r="K93" s="4" t="s">
        <v>42</v>
      </c>
      <c r="L93" s="4" t="s">
        <v>29</v>
      </c>
      <c r="M93" s="5">
        <v>44991</v>
      </c>
      <c r="N93" s="4">
        <v>999.95</v>
      </c>
      <c r="O93" s="7">
        <f t="shared" ca="1" si="5"/>
        <v>46084.816637962962</v>
      </c>
      <c r="P93" s="8">
        <f t="shared" ca="1" si="6"/>
        <v>46084.816637962962</v>
      </c>
      <c r="Q93">
        <f t="shared" si="7"/>
        <v>147865.20000000004</v>
      </c>
      <c r="R93">
        <f t="shared" si="8"/>
        <v>6</v>
      </c>
      <c r="S93">
        <f t="shared" si="9"/>
        <v>1199.94</v>
      </c>
      <c r="T93" cm="1">
        <f t="array" ref="T93">SUMPRODUCT(H93:H341*1.2, I93:I341)</f>
        <v>177438.24000000002</v>
      </c>
      <c r="U93" cm="1">
        <f t="array" ref="U93">SUMPRODUCT(H93:H341, I93:I341*0.9)</f>
        <v>133078.68000000011</v>
      </c>
      <c r="V93" cm="1">
        <f t="array" ref="V93">SUMPRODUCT((H93:H341*1.15)*(I93:I341*0.95))</f>
        <v>161542.73100000012</v>
      </c>
      <c r="W93">
        <f>MONTH(Table1[[#This Row],[Date]])</f>
        <v>8</v>
      </c>
    </row>
    <row r="94" spans="1:23" ht="15.75" customHeight="1" x14ac:dyDescent="0.3">
      <c r="A94" s="4" t="s">
        <v>223</v>
      </c>
      <c r="B94" s="5">
        <v>45522</v>
      </c>
      <c r="C94" s="4" t="s">
        <v>88</v>
      </c>
      <c r="D94" s="4" t="s">
        <v>89</v>
      </c>
      <c r="E94" s="4" t="s">
        <v>119</v>
      </c>
      <c r="F94" s="4" t="s">
        <v>120</v>
      </c>
      <c r="G94" s="4" t="s">
        <v>21</v>
      </c>
      <c r="H94" s="4">
        <v>2</v>
      </c>
      <c r="I94" s="4">
        <v>89.99</v>
      </c>
      <c r="J94" s="4" t="s">
        <v>22</v>
      </c>
      <c r="K94" s="4" t="s">
        <v>65</v>
      </c>
      <c r="L94" s="4" t="s">
        <v>29</v>
      </c>
      <c r="M94" s="5">
        <v>44972</v>
      </c>
      <c r="N94" s="4">
        <v>179.98</v>
      </c>
      <c r="O94" s="7">
        <f t="shared" ca="1" si="5"/>
        <v>46084.816637962962</v>
      </c>
      <c r="P94" s="8">
        <f t="shared" ca="1" si="6"/>
        <v>46084.816637962962</v>
      </c>
      <c r="Q94">
        <f t="shared" si="7"/>
        <v>146865.25000000006</v>
      </c>
      <c r="R94">
        <f t="shared" si="8"/>
        <v>2.4</v>
      </c>
      <c r="S94">
        <f t="shared" si="9"/>
        <v>215.97599999999997</v>
      </c>
      <c r="T94" cm="1">
        <f t="array" ref="T94">SUMPRODUCT(H94:H342*1.2, I94:I342)</f>
        <v>176238.30000000002</v>
      </c>
      <c r="U94" cm="1">
        <f t="array" ref="U94">SUMPRODUCT(H94:H342, I94:I342*0.9)</f>
        <v>132178.72500000012</v>
      </c>
      <c r="V94" cm="1">
        <f t="array" ref="V94">SUMPRODUCT((H94:H342*1.15)*(I94:I342*0.95))</f>
        <v>160450.28562500011</v>
      </c>
      <c r="W94">
        <f>MONTH(Table1[[#This Row],[Date]])</f>
        <v>8</v>
      </c>
    </row>
    <row r="95" spans="1:23" ht="15.75" customHeight="1" x14ac:dyDescent="0.3">
      <c r="A95" s="4" t="s">
        <v>224</v>
      </c>
      <c r="B95" s="5">
        <v>45523</v>
      </c>
      <c r="C95" s="4" t="s">
        <v>198</v>
      </c>
      <c r="D95" s="4" t="s">
        <v>199</v>
      </c>
      <c r="E95" s="4" t="s">
        <v>63</v>
      </c>
      <c r="F95" s="4" t="s">
        <v>64</v>
      </c>
      <c r="G95" s="4" t="s">
        <v>21</v>
      </c>
      <c r="H95" s="4">
        <v>5</v>
      </c>
      <c r="I95" s="4">
        <v>899.99</v>
      </c>
      <c r="J95" s="4" t="s">
        <v>59</v>
      </c>
      <c r="K95" s="4" t="s">
        <v>65</v>
      </c>
      <c r="L95" s="4" t="s">
        <v>24</v>
      </c>
      <c r="M95" s="5">
        <v>44526</v>
      </c>
      <c r="N95" s="4">
        <v>4499.95</v>
      </c>
      <c r="O95" s="7">
        <f t="shared" ca="1" si="5"/>
        <v>46084.816637962962</v>
      </c>
      <c r="P95" s="8">
        <f t="shared" ca="1" si="6"/>
        <v>46084.816637962962</v>
      </c>
      <c r="Q95">
        <f t="shared" si="7"/>
        <v>146685.27000000008</v>
      </c>
      <c r="R95">
        <f t="shared" si="8"/>
        <v>6</v>
      </c>
      <c r="S95">
        <f t="shared" si="9"/>
        <v>5399.9400000000005</v>
      </c>
      <c r="T95" cm="1">
        <f t="array" ref="T95">SUMPRODUCT(H95:H343*1.2, I95:I343)</f>
        <v>176022.32400000002</v>
      </c>
      <c r="U95" cm="1">
        <f t="array" ref="U95">SUMPRODUCT(H95:H343, I95:I343*0.9)</f>
        <v>132016.7430000001</v>
      </c>
      <c r="V95" cm="1">
        <f t="array" ref="V95">SUMPRODUCT((H95:H343*1.15)*(I95:I343*0.95))</f>
        <v>160253.6574750001</v>
      </c>
      <c r="W95">
        <f>MONTH(Table1[[#This Row],[Date]])</f>
        <v>8</v>
      </c>
    </row>
    <row r="96" spans="1:23" ht="15.75" customHeight="1" x14ac:dyDescent="0.3">
      <c r="A96" s="4" t="s">
        <v>225</v>
      </c>
      <c r="B96" s="5">
        <v>45523</v>
      </c>
      <c r="C96" s="4" t="s">
        <v>110</v>
      </c>
      <c r="D96" s="4" t="s">
        <v>111</v>
      </c>
      <c r="E96" s="4" t="s">
        <v>54</v>
      </c>
      <c r="F96" s="4" t="s">
        <v>55</v>
      </c>
      <c r="G96" s="4" t="s">
        <v>21</v>
      </c>
      <c r="H96" s="4">
        <v>3</v>
      </c>
      <c r="I96" s="4">
        <v>149.99</v>
      </c>
      <c r="J96" s="4" t="s">
        <v>36</v>
      </c>
      <c r="K96" s="4" t="s">
        <v>65</v>
      </c>
      <c r="L96" s="4" t="s">
        <v>24</v>
      </c>
      <c r="M96" s="5">
        <v>44574</v>
      </c>
      <c r="N96" s="4">
        <v>449.97</v>
      </c>
      <c r="O96" s="7">
        <f t="shared" ca="1" si="5"/>
        <v>46084.816637962962</v>
      </c>
      <c r="P96" s="8">
        <f t="shared" ca="1" si="6"/>
        <v>46084.816637962962</v>
      </c>
      <c r="Q96">
        <f t="shared" si="7"/>
        <v>142185.32000000004</v>
      </c>
      <c r="R96">
        <f t="shared" si="8"/>
        <v>3.5999999999999996</v>
      </c>
      <c r="S96">
        <f t="shared" si="9"/>
        <v>539.96399999999994</v>
      </c>
      <c r="T96" cm="1">
        <f t="array" ref="T96">SUMPRODUCT(H96:H344*1.2, I96:I344)</f>
        <v>170622.38400000005</v>
      </c>
      <c r="U96" cm="1">
        <f t="array" ref="U96">SUMPRODUCT(H96:H344, I96:I344*0.9)</f>
        <v>127966.78800000012</v>
      </c>
      <c r="V96" cm="1">
        <f t="array" ref="V96">SUMPRODUCT((H96:H344*1.15)*(I96:I344*0.95))</f>
        <v>155337.46210000003</v>
      </c>
      <c r="W96">
        <f>MONTH(Table1[[#This Row],[Date]])</f>
        <v>8</v>
      </c>
    </row>
    <row r="97" spans="1:23" ht="15.75" customHeight="1" x14ac:dyDescent="0.3">
      <c r="A97" s="4" t="s">
        <v>226</v>
      </c>
      <c r="B97" s="5">
        <v>45526</v>
      </c>
      <c r="C97" s="4" t="s">
        <v>104</v>
      </c>
      <c r="D97" s="4" t="s">
        <v>105</v>
      </c>
      <c r="E97" s="4" t="s">
        <v>46</v>
      </c>
      <c r="F97" s="4" t="s">
        <v>47</v>
      </c>
      <c r="G97" s="4" t="s">
        <v>48</v>
      </c>
      <c r="H97" s="4">
        <v>5</v>
      </c>
      <c r="I97" s="4">
        <v>149.99</v>
      </c>
      <c r="J97" s="4" t="s">
        <v>28</v>
      </c>
      <c r="K97" s="4" t="s">
        <v>23</v>
      </c>
      <c r="L97" s="4" t="s">
        <v>24</v>
      </c>
      <c r="M97" s="5">
        <v>45310</v>
      </c>
      <c r="N97" s="4">
        <v>749.95</v>
      </c>
      <c r="O97" s="7">
        <f t="shared" ca="1" si="5"/>
        <v>46084.816637962962</v>
      </c>
      <c r="P97" s="8">
        <f t="shared" ca="1" si="6"/>
        <v>46084.816637962962</v>
      </c>
      <c r="Q97">
        <f t="shared" si="7"/>
        <v>141735.35000000003</v>
      </c>
      <c r="R97">
        <f t="shared" si="8"/>
        <v>6</v>
      </c>
      <c r="S97">
        <f t="shared" si="9"/>
        <v>899.94</v>
      </c>
      <c r="T97" cm="1">
        <f t="array" ref="T97">SUMPRODUCT(H97:H345*1.2, I97:I345)</f>
        <v>170082.42</v>
      </c>
      <c r="U97" cm="1">
        <f t="array" ref="U97">SUMPRODUCT(H97:H345, I97:I345*0.9)</f>
        <v>127561.81500000012</v>
      </c>
      <c r="V97" cm="1">
        <f t="array" ref="V97">SUMPRODUCT((H97:H345*1.15)*(I97:I345*0.95))</f>
        <v>154845.86987500003</v>
      </c>
      <c r="W97">
        <f>MONTH(Table1[[#This Row],[Date]])</f>
        <v>8</v>
      </c>
    </row>
    <row r="98" spans="1:23" ht="15.75" customHeight="1" x14ac:dyDescent="0.3">
      <c r="A98" s="4" t="s">
        <v>227</v>
      </c>
      <c r="B98" s="5">
        <v>45528</v>
      </c>
      <c r="C98" s="4" t="s">
        <v>228</v>
      </c>
      <c r="D98" s="4" t="s">
        <v>229</v>
      </c>
      <c r="E98" s="4" t="s">
        <v>116</v>
      </c>
      <c r="F98" s="4" t="s">
        <v>117</v>
      </c>
      <c r="G98" s="4" t="s">
        <v>35</v>
      </c>
      <c r="H98" s="4">
        <v>3</v>
      </c>
      <c r="I98" s="4">
        <v>79.989999999999995</v>
      </c>
      <c r="J98" s="4" t="s">
        <v>22</v>
      </c>
      <c r="K98" s="4" t="s">
        <v>23</v>
      </c>
      <c r="L98" s="4" t="s">
        <v>29</v>
      </c>
      <c r="M98" s="5">
        <v>44779</v>
      </c>
      <c r="N98" s="4">
        <v>239.97</v>
      </c>
      <c r="O98" s="7">
        <f t="shared" ca="1" si="5"/>
        <v>46084.816637962962</v>
      </c>
      <c r="P98" s="8">
        <f t="shared" ca="1" si="6"/>
        <v>46084.816637962962</v>
      </c>
      <c r="Q98">
        <f t="shared" si="7"/>
        <v>140985.40000000005</v>
      </c>
      <c r="R98">
        <f t="shared" si="8"/>
        <v>3.5999999999999996</v>
      </c>
      <c r="S98">
        <f t="shared" si="9"/>
        <v>287.96399999999994</v>
      </c>
      <c r="T98" cm="1">
        <f t="array" ref="T98">SUMPRODUCT(H98:H346*1.2, I98:I346)</f>
        <v>169182.48</v>
      </c>
      <c r="U98" cm="1">
        <f t="array" ref="U98">SUMPRODUCT(H98:H346, I98:I346*0.9)</f>
        <v>126886.86000000013</v>
      </c>
      <c r="V98" cm="1">
        <f t="array" ref="V98">SUMPRODUCT((H98:H346*1.15)*(I98:I346*0.95))</f>
        <v>154026.54950000002</v>
      </c>
      <c r="W98">
        <f>MONTH(Table1[[#This Row],[Date]])</f>
        <v>8</v>
      </c>
    </row>
    <row r="99" spans="1:23" ht="15.75" customHeight="1" x14ac:dyDescent="0.3">
      <c r="A99" s="4" t="s">
        <v>230</v>
      </c>
      <c r="B99" s="5">
        <v>45528</v>
      </c>
      <c r="C99" s="4" t="s">
        <v>146</v>
      </c>
      <c r="D99" s="4" t="s">
        <v>147</v>
      </c>
      <c r="E99" s="4" t="s">
        <v>19</v>
      </c>
      <c r="F99" s="4" t="s">
        <v>20</v>
      </c>
      <c r="G99" s="4" t="s">
        <v>21</v>
      </c>
      <c r="H99" s="4">
        <v>2</v>
      </c>
      <c r="I99" s="4">
        <v>249.99</v>
      </c>
      <c r="J99" s="4" t="s">
        <v>22</v>
      </c>
      <c r="K99" s="4" t="s">
        <v>37</v>
      </c>
      <c r="L99" s="4" t="s">
        <v>38</v>
      </c>
      <c r="M99" s="5">
        <v>44572</v>
      </c>
      <c r="N99" s="4">
        <v>499.98</v>
      </c>
      <c r="O99" s="7">
        <f t="shared" ca="1" si="5"/>
        <v>46084.816637962962</v>
      </c>
      <c r="P99" s="8">
        <f t="shared" ca="1" si="6"/>
        <v>46084.816637962962</v>
      </c>
      <c r="Q99">
        <f t="shared" si="7"/>
        <v>140745.43000000005</v>
      </c>
      <c r="R99">
        <f t="shared" si="8"/>
        <v>2.4</v>
      </c>
      <c r="S99">
        <f t="shared" si="9"/>
        <v>599.976</v>
      </c>
      <c r="T99" cm="1">
        <f t="array" ref="T99">SUMPRODUCT(H99:H347*1.2, I99:I347)</f>
        <v>168894.516</v>
      </c>
      <c r="U99" cm="1">
        <f t="array" ref="U99">SUMPRODUCT(H99:H347, I99:I347*0.9)</f>
        <v>126670.88700000013</v>
      </c>
      <c r="V99" cm="1">
        <f t="array" ref="V99">SUMPRODUCT((H99:H347*1.15)*(I99:I347*0.95))</f>
        <v>153764.38227500001</v>
      </c>
      <c r="W99">
        <f>MONTH(Table1[[#This Row],[Date]])</f>
        <v>8</v>
      </c>
    </row>
    <row r="100" spans="1:23" ht="15.75" customHeight="1" x14ac:dyDescent="0.3">
      <c r="A100" s="4" t="s">
        <v>231</v>
      </c>
      <c r="B100" s="5">
        <v>45532</v>
      </c>
      <c r="C100" s="4" t="s">
        <v>198</v>
      </c>
      <c r="D100" s="4" t="s">
        <v>199</v>
      </c>
      <c r="E100" s="4" t="s">
        <v>82</v>
      </c>
      <c r="F100" s="4" t="s">
        <v>83</v>
      </c>
      <c r="G100" s="4" t="s">
        <v>21</v>
      </c>
      <c r="H100" s="4">
        <v>1</v>
      </c>
      <c r="I100" s="4">
        <v>699.99</v>
      </c>
      <c r="J100" s="4" t="s">
        <v>22</v>
      </c>
      <c r="K100" s="4" t="s">
        <v>23</v>
      </c>
      <c r="L100" s="4" t="s">
        <v>29</v>
      </c>
      <c r="M100" s="5">
        <v>44497</v>
      </c>
      <c r="N100" s="4">
        <v>699.99</v>
      </c>
      <c r="O100" s="7">
        <f t="shared" ca="1" si="5"/>
        <v>46084.816637962962</v>
      </c>
      <c r="P100" s="8">
        <f t="shared" ca="1" si="6"/>
        <v>46084.816637962962</v>
      </c>
      <c r="Q100">
        <f t="shared" si="7"/>
        <v>140245.45000000004</v>
      </c>
      <c r="R100">
        <f t="shared" si="8"/>
        <v>1.2</v>
      </c>
      <c r="S100">
        <f t="shared" si="9"/>
        <v>839.98799999999994</v>
      </c>
      <c r="T100" cm="1">
        <f t="array" ref="T100">SUMPRODUCT(H100:H348*1.2, I100:I348)</f>
        <v>168294.54</v>
      </c>
      <c r="U100" cm="1">
        <f t="array" ref="U100">SUMPRODUCT(H100:H348, I100:I348*0.9)</f>
        <v>126220.90500000012</v>
      </c>
      <c r="V100" cm="1">
        <f t="array" ref="V100">SUMPRODUCT((H100:H348*1.15)*(I100:I348*0.95))</f>
        <v>153218.15412500003</v>
      </c>
      <c r="W100">
        <f>MONTH(Table1[[#This Row],[Date]])</f>
        <v>8</v>
      </c>
    </row>
    <row r="101" spans="1:23" ht="15.75" customHeight="1" x14ac:dyDescent="0.3">
      <c r="A101" s="4" t="s">
        <v>232</v>
      </c>
      <c r="B101" s="5">
        <v>45532</v>
      </c>
      <c r="C101" s="4" t="s">
        <v>233</v>
      </c>
      <c r="D101" s="4" t="s">
        <v>234</v>
      </c>
      <c r="E101" s="4" t="s">
        <v>54</v>
      </c>
      <c r="F101" s="4" t="s">
        <v>55</v>
      </c>
      <c r="G101" s="4" t="s">
        <v>21</v>
      </c>
      <c r="H101" s="4">
        <v>3</v>
      </c>
      <c r="I101" s="4">
        <v>149.99</v>
      </c>
      <c r="J101" s="4" t="s">
        <v>22</v>
      </c>
      <c r="K101" s="4" t="s">
        <v>52</v>
      </c>
      <c r="L101" s="4" t="s">
        <v>29</v>
      </c>
      <c r="M101" s="5">
        <v>45212</v>
      </c>
      <c r="N101" s="4">
        <v>449.97</v>
      </c>
      <c r="O101" s="7">
        <f t="shared" ca="1" si="5"/>
        <v>46084.816637962962</v>
      </c>
      <c r="P101" s="8">
        <f t="shared" ca="1" si="6"/>
        <v>46084.816637962962</v>
      </c>
      <c r="Q101">
        <f t="shared" si="7"/>
        <v>139545.46000000005</v>
      </c>
      <c r="R101">
        <f t="shared" si="8"/>
        <v>3.5999999999999996</v>
      </c>
      <c r="S101">
        <f t="shared" si="9"/>
        <v>539.96399999999994</v>
      </c>
      <c r="T101" cm="1">
        <f t="array" ref="T101">SUMPRODUCT(H101:H349*1.2, I101:I349)</f>
        <v>167454.55200000003</v>
      </c>
      <c r="U101" cm="1">
        <f t="array" ref="U101">SUMPRODUCT(H101:H349, I101:I349*0.9)</f>
        <v>125590.91400000014</v>
      </c>
      <c r="V101" cm="1">
        <f t="array" ref="V101">SUMPRODUCT((H101:H349*1.15)*(I101:I349*0.95))</f>
        <v>152453.41505000001</v>
      </c>
      <c r="W101">
        <f>MONTH(Table1[[#This Row],[Date]])</f>
        <v>8</v>
      </c>
    </row>
    <row r="102" spans="1:23" ht="15.75" customHeight="1" x14ac:dyDescent="0.3">
      <c r="A102" s="4" t="s">
        <v>235</v>
      </c>
      <c r="B102" s="5">
        <v>45534</v>
      </c>
      <c r="C102" s="4" t="s">
        <v>236</v>
      </c>
      <c r="D102" s="4" t="s">
        <v>237</v>
      </c>
      <c r="E102" s="4" t="s">
        <v>82</v>
      </c>
      <c r="F102" s="4" t="s">
        <v>83</v>
      </c>
      <c r="G102" s="4" t="s">
        <v>21</v>
      </c>
      <c r="H102" s="4">
        <v>2</v>
      </c>
      <c r="I102" s="4">
        <v>699.99</v>
      </c>
      <c r="J102" s="4" t="s">
        <v>28</v>
      </c>
      <c r="K102" s="4" t="s">
        <v>42</v>
      </c>
      <c r="L102" s="4" t="s">
        <v>29</v>
      </c>
      <c r="M102" s="5">
        <v>44421</v>
      </c>
      <c r="N102" s="4">
        <v>1399.98</v>
      </c>
      <c r="O102" s="7">
        <f t="shared" ca="1" si="5"/>
        <v>46084.816637962962</v>
      </c>
      <c r="P102" s="8">
        <f t="shared" ca="1" si="6"/>
        <v>46084.816637962962</v>
      </c>
      <c r="Q102">
        <f t="shared" si="7"/>
        <v>139095.49000000008</v>
      </c>
      <c r="R102">
        <f t="shared" si="8"/>
        <v>2.4</v>
      </c>
      <c r="S102">
        <f t="shared" si="9"/>
        <v>1679.9759999999999</v>
      </c>
      <c r="T102" cm="1">
        <f t="array" ref="T102">SUMPRODUCT(H102:H350*1.2, I102:I350)</f>
        <v>166914.58799999999</v>
      </c>
      <c r="U102" cm="1">
        <f t="array" ref="U102">SUMPRODUCT(H102:H350, I102:I350*0.9)</f>
        <v>125185.94100000014</v>
      </c>
      <c r="V102" cm="1">
        <f t="array" ref="V102">SUMPRODUCT((H102:H350*1.15)*(I102:I350*0.95))</f>
        <v>151961.82282500001</v>
      </c>
      <c r="W102">
        <f>MONTH(Table1[[#This Row],[Date]])</f>
        <v>8</v>
      </c>
    </row>
    <row r="103" spans="1:23" ht="15.75" customHeight="1" x14ac:dyDescent="0.3">
      <c r="A103" s="4" t="s">
        <v>238</v>
      </c>
      <c r="B103" s="5">
        <v>45537</v>
      </c>
      <c r="C103" s="4" t="s">
        <v>233</v>
      </c>
      <c r="D103" s="4" t="s">
        <v>234</v>
      </c>
      <c r="E103" s="4" t="s">
        <v>19</v>
      </c>
      <c r="F103" s="4" t="s">
        <v>20</v>
      </c>
      <c r="G103" s="4" t="s">
        <v>21</v>
      </c>
      <c r="H103" s="4">
        <v>1</v>
      </c>
      <c r="I103" s="4">
        <v>249.99</v>
      </c>
      <c r="J103" s="4" t="s">
        <v>28</v>
      </c>
      <c r="K103" s="4" t="s">
        <v>52</v>
      </c>
      <c r="L103" s="4" t="s">
        <v>29</v>
      </c>
      <c r="M103" s="5">
        <v>44685</v>
      </c>
      <c r="N103" s="4">
        <v>249.99</v>
      </c>
      <c r="O103" s="7">
        <f t="shared" ca="1" si="5"/>
        <v>46084.816637962962</v>
      </c>
      <c r="P103" s="8">
        <f t="shared" ca="1" si="6"/>
        <v>46084.816637962962</v>
      </c>
      <c r="Q103">
        <f t="shared" si="7"/>
        <v>137695.51000000007</v>
      </c>
      <c r="R103">
        <f t="shared" si="8"/>
        <v>1.2</v>
      </c>
      <c r="S103">
        <f t="shared" si="9"/>
        <v>299.988</v>
      </c>
      <c r="T103" cm="1">
        <f t="array" ref="T103">SUMPRODUCT(H103:H351*1.2, I103:I351)</f>
        <v>165234.61199999999</v>
      </c>
      <c r="U103" cm="1">
        <f t="array" ref="U103">SUMPRODUCT(H103:H351, I103:I351*0.9)</f>
        <v>123925.95900000012</v>
      </c>
      <c r="V103" cm="1">
        <f t="array" ref="V103">SUMPRODUCT((H103:H351*1.15)*(I103:I351*0.95))</f>
        <v>150432.34467500003</v>
      </c>
      <c r="W103">
        <f>MONTH(Table1[[#This Row],[Date]])</f>
        <v>9</v>
      </c>
    </row>
    <row r="104" spans="1:23" ht="15.75" customHeight="1" x14ac:dyDescent="0.3">
      <c r="A104" s="4" t="s">
        <v>239</v>
      </c>
      <c r="B104" s="5">
        <v>45537</v>
      </c>
      <c r="C104" s="4" t="s">
        <v>17</v>
      </c>
      <c r="D104" s="4" t="s">
        <v>18</v>
      </c>
      <c r="E104" s="4" t="s">
        <v>19</v>
      </c>
      <c r="F104" s="4" t="s">
        <v>20</v>
      </c>
      <c r="G104" s="4" t="s">
        <v>21</v>
      </c>
      <c r="H104" s="4">
        <v>1</v>
      </c>
      <c r="I104" s="4">
        <v>249.99</v>
      </c>
      <c r="J104" s="4" t="s">
        <v>59</v>
      </c>
      <c r="K104" s="4" t="s">
        <v>42</v>
      </c>
      <c r="L104" s="4" t="s">
        <v>29</v>
      </c>
      <c r="M104" s="5">
        <v>45332</v>
      </c>
      <c r="N104" s="4">
        <v>249.99</v>
      </c>
      <c r="O104" s="7">
        <f t="shared" ca="1" si="5"/>
        <v>46084.816637962962</v>
      </c>
      <c r="P104" s="8">
        <f t="shared" ca="1" si="6"/>
        <v>46084.816637962962</v>
      </c>
      <c r="Q104">
        <f t="shared" si="7"/>
        <v>137445.52000000005</v>
      </c>
      <c r="R104">
        <f t="shared" si="8"/>
        <v>1.2</v>
      </c>
      <c r="S104">
        <f t="shared" si="9"/>
        <v>299.988</v>
      </c>
      <c r="T104" cm="1">
        <f t="array" ref="T104">SUMPRODUCT(H104:H352*1.2, I104:I352)</f>
        <v>164934.62399999998</v>
      </c>
      <c r="U104" cm="1">
        <f t="array" ref="U104">SUMPRODUCT(H104:H352, I104:I352*0.9)</f>
        <v>123700.96800000014</v>
      </c>
      <c r="V104" cm="1">
        <f t="array" ref="V104">SUMPRODUCT((H104:H352*1.15)*(I104:I352*0.95))</f>
        <v>150159.23060000001</v>
      </c>
      <c r="W104">
        <f>MONTH(Table1[[#This Row],[Date]])</f>
        <v>9</v>
      </c>
    </row>
    <row r="105" spans="1:23" ht="15.75" customHeight="1" x14ac:dyDescent="0.3">
      <c r="A105" s="4" t="s">
        <v>240</v>
      </c>
      <c r="B105" s="5">
        <v>45538</v>
      </c>
      <c r="C105" s="4" t="s">
        <v>228</v>
      </c>
      <c r="D105" s="4" t="s">
        <v>229</v>
      </c>
      <c r="E105" s="4" t="s">
        <v>82</v>
      </c>
      <c r="F105" s="4" t="s">
        <v>83</v>
      </c>
      <c r="G105" s="4" t="s">
        <v>21</v>
      </c>
      <c r="H105" s="4">
        <v>2</v>
      </c>
      <c r="I105" s="4">
        <v>699.99</v>
      </c>
      <c r="J105" s="4" t="s">
        <v>59</v>
      </c>
      <c r="K105" s="4" t="s">
        <v>23</v>
      </c>
      <c r="L105" s="4" t="s">
        <v>29</v>
      </c>
      <c r="M105" s="5">
        <v>44870</v>
      </c>
      <c r="N105" s="4">
        <v>1399.98</v>
      </c>
      <c r="O105" s="7">
        <f t="shared" ca="1" si="5"/>
        <v>46084.816637962962</v>
      </c>
      <c r="P105" s="8">
        <f t="shared" ca="1" si="6"/>
        <v>46084.816637962962</v>
      </c>
      <c r="Q105">
        <f t="shared" si="7"/>
        <v>137195.53000000006</v>
      </c>
      <c r="R105">
        <f t="shared" si="8"/>
        <v>2.4</v>
      </c>
      <c r="S105">
        <f t="shared" si="9"/>
        <v>1679.9759999999999</v>
      </c>
      <c r="T105" cm="1">
        <f t="array" ref="T105">SUMPRODUCT(H105:H353*1.2, I105:I353)</f>
        <v>164634.63600000003</v>
      </c>
      <c r="U105" cm="1">
        <f t="array" ref="U105">SUMPRODUCT(H105:H353, I105:I353*0.9)</f>
        <v>123475.97700000013</v>
      </c>
      <c r="V105" cm="1">
        <f t="array" ref="V105">SUMPRODUCT((H105:H353*1.15)*(I105:I353*0.95))</f>
        <v>149886.11652500002</v>
      </c>
      <c r="W105">
        <f>MONTH(Table1[[#This Row],[Date]])</f>
        <v>9</v>
      </c>
    </row>
    <row r="106" spans="1:23" ht="15.75" customHeight="1" x14ac:dyDescent="0.3">
      <c r="A106" s="4" t="s">
        <v>241</v>
      </c>
      <c r="B106" s="5">
        <v>45541</v>
      </c>
      <c r="C106" s="4" t="s">
        <v>140</v>
      </c>
      <c r="D106" s="4" t="s">
        <v>141</v>
      </c>
      <c r="E106" s="4" t="s">
        <v>33</v>
      </c>
      <c r="F106" s="4" t="s">
        <v>34</v>
      </c>
      <c r="G106" s="4" t="s">
        <v>35</v>
      </c>
      <c r="H106" s="4">
        <v>3</v>
      </c>
      <c r="I106" s="4">
        <v>59.99</v>
      </c>
      <c r="J106" s="4" t="s">
        <v>28</v>
      </c>
      <c r="K106" s="4" t="s">
        <v>23</v>
      </c>
      <c r="L106" s="4" t="s">
        <v>29</v>
      </c>
      <c r="M106" s="5">
        <v>44717</v>
      </c>
      <c r="N106" s="4">
        <v>179.97</v>
      </c>
      <c r="O106" s="7">
        <f t="shared" ca="1" si="5"/>
        <v>46084.816637962962</v>
      </c>
      <c r="P106" s="8">
        <f t="shared" ca="1" si="6"/>
        <v>46084.816637962962</v>
      </c>
      <c r="Q106">
        <f t="shared" si="7"/>
        <v>135795.55000000005</v>
      </c>
      <c r="R106">
        <f t="shared" si="8"/>
        <v>3.5999999999999996</v>
      </c>
      <c r="S106">
        <f t="shared" si="9"/>
        <v>215.964</v>
      </c>
      <c r="T106" cm="1">
        <f t="array" ref="T106">SUMPRODUCT(H106:H354*1.2, I106:I354)</f>
        <v>162954.66</v>
      </c>
      <c r="U106" cm="1">
        <f t="array" ref="U106">SUMPRODUCT(H106:H354, I106:I354*0.9)</f>
        <v>122215.99500000014</v>
      </c>
      <c r="V106" cm="1">
        <f t="array" ref="V106">SUMPRODUCT((H106:H354*1.15)*(I106:I354*0.95))</f>
        <v>148356.63837500004</v>
      </c>
      <c r="W106">
        <f>MONTH(Table1[[#This Row],[Date]])</f>
        <v>9</v>
      </c>
    </row>
    <row r="107" spans="1:23" ht="15.75" customHeight="1" x14ac:dyDescent="0.3">
      <c r="A107" s="4" t="s">
        <v>242</v>
      </c>
      <c r="B107" s="5">
        <v>45544</v>
      </c>
      <c r="C107" s="4" t="s">
        <v>134</v>
      </c>
      <c r="D107" s="4" t="s">
        <v>135</v>
      </c>
      <c r="E107" s="4" t="s">
        <v>33</v>
      </c>
      <c r="F107" s="4" t="s">
        <v>34</v>
      </c>
      <c r="G107" s="4" t="s">
        <v>35</v>
      </c>
      <c r="H107" s="4">
        <v>3</v>
      </c>
      <c r="I107" s="4">
        <v>59.99</v>
      </c>
      <c r="J107" s="4" t="s">
        <v>36</v>
      </c>
      <c r="K107" s="4" t="s">
        <v>65</v>
      </c>
      <c r="L107" s="4" t="s">
        <v>38</v>
      </c>
      <c r="M107" s="5">
        <v>44748</v>
      </c>
      <c r="N107" s="4">
        <v>179.97</v>
      </c>
      <c r="O107" s="7">
        <f t="shared" ca="1" si="5"/>
        <v>46084.816637962962</v>
      </c>
      <c r="P107" s="8">
        <f t="shared" ca="1" si="6"/>
        <v>46084.816637962962</v>
      </c>
      <c r="Q107">
        <f t="shared" si="7"/>
        <v>135615.58000000005</v>
      </c>
      <c r="R107">
        <f t="shared" si="8"/>
        <v>3.5999999999999996</v>
      </c>
      <c r="S107">
        <f t="shared" si="9"/>
        <v>215.964</v>
      </c>
      <c r="T107" cm="1">
        <f t="array" ref="T107">SUMPRODUCT(H107:H355*1.2, I107:I355)</f>
        <v>162738.696</v>
      </c>
      <c r="U107" cm="1">
        <f t="array" ref="U107">SUMPRODUCT(H107:H355, I107:I355*0.9)</f>
        <v>122054.02200000011</v>
      </c>
      <c r="V107" cm="1">
        <f t="array" ref="V107">SUMPRODUCT((H107:H355*1.15)*(I107:I355*0.95))</f>
        <v>148160.02115000004</v>
      </c>
      <c r="W107">
        <f>MONTH(Table1[[#This Row],[Date]])</f>
        <v>9</v>
      </c>
    </row>
    <row r="108" spans="1:23" ht="15.75" customHeight="1" x14ac:dyDescent="0.3">
      <c r="A108" s="4" t="s">
        <v>243</v>
      </c>
      <c r="B108" s="5">
        <v>45544</v>
      </c>
      <c r="C108" s="4" t="s">
        <v>143</v>
      </c>
      <c r="D108" s="4" t="s">
        <v>144</v>
      </c>
      <c r="E108" s="4" t="s">
        <v>116</v>
      </c>
      <c r="F108" s="4" t="s">
        <v>117</v>
      </c>
      <c r="G108" s="4" t="s">
        <v>35</v>
      </c>
      <c r="H108" s="4">
        <v>4</v>
      </c>
      <c r="I108" s="4">
        <v>79.989999999999995</v>
      </c>
      <c r="J108" s="4" t="s">
        <v>22</v>
      </c>
      <c r="K108" s="4" t="s">
        <v>42</v>
      </c>
      <c r="L108" s="4" t="s">
        <v>24</v>
      </c>
      <c r="M108" s="5">
        <v>44530</v>
      </c>
      <c r="N108" s="4">
        <v>319.95999999999998</v>
      </c>
      <c r="O108" s="7">
        <f t="shared" ca="1" si="5"/>
        <v>46084.816637962962</v>
      </c>
      <c r="P108" s="8">
        <f t="shared" ca="1" si="6"/>
        <v>46084.816637962962</v>
      </c>
      <c r="Q108">
        <f t="shared" si="7"/>
        <v>135435.61000000004</v>
      </c>
      <c r="R108">
        <f t="shared" si="8"/>
        <v>4.8</v>
      </c>
      <c r="S108">
        <f t="shared" si="9"/>
        <v>383.95199999999994</v>
      </c>
      <c r="T108" cm="1">
        <f t="array" ref="T108">SUMPRODUCT(H108:H356*1.2, I108:I356)</f>
        <v>162522.73199999999</v>
      </c>
      <c r="U108" cm="1">
        <f t="array" ref="U108">SUMPRODUCT(H108:H356, I108:I356*0.9)</f>
        <v>121892.04900000012</v>
      </c>
      <c r="V108" cm="1">
        <f t="array" ref="V108">SUMPRODUCT((H108:H356*1.15)*(I108:I356*0.95))</f>
        <v>147963.40392500005</v>
      </c>
      <c r="W108">
        <f>MONTH(Table1[[#This Row],[Date]])</f>
        <v>9</v>
      </c>
    </row>
    <row r="109" spans="1:23" ht="15.75" customHeight="1" x14ac:dyDescent="0.3">
      <c r="A109" s="4" t="s">
        <v>244</v>
      </c>
      <c r="B109" s="5">
        <v>45545</v>
      </c>
      <c r="C109" s="4" t="s">
        <v>57</v>
      </c>
      <c r="D109" s="4" t="s">
        <v>58</v>
      </c>
      <c r="E109" s="4" t="s">
        <v>116</v>
      </c>
      <c r="F109" s="4" t="s">
        <v>117</v>
      </c>
      <c r="G109" s="4" t="s">
        <v>35</v>
      </c>
      <c r="H109" s="4">
        <v>1</v>
      </c>
      <c r="I109" s="4">
        <v>79.989999999999995</v>
      </c>
      <c r="J109" s="4" t="s">
        <v>22</v>
      </c>
      <c r="K109" s="4" t="s">
        <v>52</v>
      </c>
      <c r="L109" s="4" t="s">
        <v>24</v>
      </c>
      <c r="M109" s="5">
        <v>44693</v>
      </c>
      <c r="N109" s="4">
        <v>79.989999999999995</v>
      </c>
      <c r="O109" s="7">
        <f t="shared" ca="1" si="5"/>
        <v>46084.816637962962</v>
      </c>
      <c r="P109" s="8">
        <f t="shared" ca="1" si="6"/>
        <v>46084.816637962962</v>
      </c>
      <c r="Q109">
        <f t="shared" si="7"/>
        <v>135115.65000000002</v>
      </c>
      <c r="R109">
        <f t="shared" si="8"/>
        <v>1.2</v>
      </c>
      <c r="S109">
        <f t="shared" si="9"/>
        <v>95.987999999999985</v>
      </c>
      <c r="T109" cm="1">
        <f t="array" ref="T109">SUMPRODUCT(H109:H357*1.2, I109:I357)</f>
        <v>162138.78</v>
      </c>
      <c r="U109" cm="1">
        <f t="array" ref="U109">SUMPRODUCT(H109:H357, I109:I357*0.9)</f>
        <v>121604.08500000014</v>
      </c>
      <c r="V109" cm="1">
        <f t="array" ref="V109">SUMPRODUCT((H109:H357*1.15)*(I109:I357*0.95))</f>
        <v>147613.84762500002</v>
      </c>
      <c r="W109">
        <f>MONTH(Table1[[#This Row],[Date]])</f>
        <v>9</v>
      </c>
    </row>
    <row r="110" spans="1:23" ht="15.75" customHeight="1" x14ac:dyDescent="0.3">
      <c r="A110" s="4" t="s">
        <v>245</v>
      </c>
      <c r="B110" s="5">
        <v>45547</v>
      </c>
      <c r="C110" s="4" t="s">
        <v>50</v>
      </c>
      <c r="D110" s="4" t="s">
        <v>51</v>
      </c>
      <c r="E110" s="4" t="s">
        <v>107</v>
      </c>
      <c r="F110" s="4" t="s">
        <v>108</v>
      </c>
      <c r="G110" s="4" t="s">
        <v>48</v>
      </c>
      <c r="H110" s="4">
        <v>3</v>
      </c>
      <c r="I110" s="4">
        <v>299.99</v>
      </c>
      <c r="J110" s="4" t="s">
        <v>28</v>
      </c>
      <c r="K110" s="4" t="s">
        <v>23</v>
      </c>
      <c r="L110" s="4" t="s">
        <v>29</v>
      </c>
      <c r="M110" s="5">
        <v>44494</v>
      </c>
      <c r="N110" s="4">
        <v>899.97</v>
      </c>
      <c r="O110" s="7">
        <f t="shared" ca="1" si="5"/>
        <v>46084.816637962962</v>
      </c>
      <c r="P110" s="8">
        <f t="shared" ca="1" si="6"/>
        <v>46084.816637962962</v>
      </c>
      <c r="Q110">
        <f t="shared" si="7"/>
        <v>135035.66000000003</v>
      </c>
      <c r="R110">
        <f t="shared" si="8"/>
        <v>3.5999999999999996</v>
      </c>
      <c r="S110">
        <f t="shared" si="9"/>
        <v>1079.9639999999999</v>
      </c>
      <c r="T110" cm="1">
        <f t="array" ref="T110">SUMPRODUCT(H110:H358*1.2, I110:I358)</f>
        <v>162042.79199999999</v>
      </c>
      <c r="U110" cm="1">
        <f t="array" ref="U110">SUMPRODUCT(H110:H358, I110:I358*0.9)</f>
        <v>121532.09400000013</v>
      </c>
      <c r="V110" cm="1">
        <f t="array" ref="V110">SUMPRODUCT((H110:H358*1.15)*(I110:I358*0.95))</f>
        <v>147526.45855000004</v>
      </c>
      <c r="W110">
        <f>MONTH(Table1[[#This Row],[Date]])</f>
        <v>9</v>
      </c>
    </row>
    <row r="111" spans="1:23" ht="15.75" customHeight="1" x14ac:dyDescent="0.3">
      <c r="A111" s="4" t="s">
        <v>246</v>
      </c>
      <c r="B111" s="5">
        <v>45548</v>
      </c>
      <c r="C111" s="4" t="s">
        <v>40</v>
      </c>
      <c r="D111" s="4" t="s">
        <v>41</v>
      </c>
      <c r="E111" s="4" t="s">
        <v>119</v>
      </c>
      <c r="F111" s="4" t="s">
        <v>120</v>
      </c>
      <c r="G111" s="4" t="s">
        <v>21</v>
      </c>
      <c r="H111" s="4">
        <v>2</v>
      </c>
      <c r="I111" s="4">
        <v>89.99</v>
      </c>
      <c r="J111" s="4" t="s">
        <v>28</v>
      </c>
      <c r="K111" s="4" t="s">
        <v>37</v>
      </c>
      <c r="L111" s="4" t="s">
        <v>29</v>
      </c>
      <c r="M111" s="5">
        <v>44641</v>
      </c>
      <c r="N111" s="4">
        <v>179.98</v>
      </c>
      <c r="O111" s="7">
        <f t="shared" ca="1" si="5"/>
        <v>46084.816637962962</v>
      </c>
      <c r="P111" s="8">
        <f t="shared" ca="1" si="6"/>
        <v>46084.816637962962</v>
      </c>
      <c r="Q111">
        <f t="shared" si="7"/>
        <v>134135.69000000003</v>
      </c>
      <c r="R111">
        <f t="shared" si="8"/>
        <v>2.4</v>
      </c>
      <c r="S111">
        <f t="shared" si="9"/>
        <v>215.97599999999997</v>
      </c>
      <c r="T111" cm="1">
        <f t="array" ref="T111">SUMPRODUCT(H111:H359*1.2, I111:I359)</f>
        <v>160962.82799999998</v>
      </c>
      <c r="U111" cm="1">
        <f t="array" ref="U111">SUMPRODUCT(H111:H359, I111:I359*0.9)</f>
        <v>120722.12100000013</v>
      </c>
      <c r="V111" cm="1">
        <f t="array" ref="V111">SUMPRODUCT((H111:H359*1.15)*(I111:I359*0.95))</f>
        <v>146543.24132500004</v>
      </c>
      <c r="W111">
        <f>MONTH(Table1[[#This Row],[Date]])</f>
        <v>9</v>
      </c>
    </row>
    <row r="112" spans="1:23" ht="15.75" customHeight="1" x14ac:dyDescent="0.3">
      <c r="A112" s="4" t="s">
        <v>247</v>
      </c>
      <c r="B112" s="5">
        <v>45550</v>
      </c>
      <c r="C112" s="4" t="s">
        <v>248</v>
      </c>
      <c r="D112" s="4" t="s">
        <v>249</v>
      </c>
      <c r="E112" s="4" t="s">
        <v>54</v>
      </c>
      <c r="F112" s="4" t="s">
        <v>55</v>
      </c>
      <c r="G112" s="4" t="s">
        <v>21</v>
      </c>
      <c r="H112" s="4">
        <v>4</v>
      </c>
      <c r="I112" s="4">
        <v>149.99</v>
      </c>
      <c r="J112" s="4" t="s">
        <v>22</v>
      </c>
      <c r="K112" s="4" t="s">
        <v>42</v>
      </c>
      <c r="L112" s="4" t="s">
        <v>24</v>
      </c>
      <c r="M112" s="5">
        <v>44909</v>
      </c>
      <c r="N112" s="4">
        <v>599.96</v>
      </c>
      <c r="O112" s="7">
        <f t="shared" ca="1" si="5"/>
        <v>46084.816637962962</v>
      </c>
      <c r="P112" s="8">
        <f t="shared" ca="1" si="6"/>
        <v>46084.816637962962</v>
      </c>
      <c r="Q112">
        <f t="shared" si="7"/>
        <v>133955.71000000005</v>
      </c>
      <c r="R112">
        <f t="shared" si="8"/>
        <v>4.8</v>
      </c>
      <c r="S112">
        <f t="shared" si="9"/>
        <v>719.952</v>
      </c>
      <c r="T112" cm="1">
        <f t="array" ref="T112">SUMPRODUCT(H112:H360*1.2, I112:I360)</f>
        <v>160746.85199999998</v>
      </c>
      <c r="U112" cm="1">
        <f t="array" ref="U112">SUMPRODUCT(H112:H360, I112:I360*0.9)</f>
        <v>120560.13900000014</v>
      </c>
      <c r="V112" cm="1">
        <f t="array" ref="V112">SUMPRODUCT((H112:H360*1.15)*(I112:I360*0.95))</f>
        <v>146346.61317500003</v>
      </c>
      <c r="W112">
        <f>MONTH(Table1[[#This Row],[Date]])</f>
        <v>9</v>
      </c>
    </row>
    <row r="113" spans="1:23" ht="15.75" customHeight="1" x14ac:dyDescent="0.3">
      <c r="A113" s="4" t="s">
        <v>250</v>
      </c>
      <c r="B113" s="5">
        <v>45551</v>
      </c>
      <c r="C113" s="4" t="s">
        <v>67</v>
      </c>
      <c r="D113" s="4" t="s">
        <v>68</v>
      </c>
      <c r="E113" s="4" t="s">
        <v>19</v>
      </c>
      <c r="F113" s="4" t="s">
        <v>20</v>
      </c>
      <c r="G113" s="4" t="s">
        <v>21</v>
      </c>
      <c r="H113" s="4">
        <v>2</v>
      </c>
      <c r="I113" s="4">
        <v>249.99</v>
      </c>
      <c r="J113" s="4" t="s">
        <v>36</v>
      </c>
      <c r="K113" s="4" t="s">
        <v>37</v>
      </c>
      <c r="L113" s="4" t="s">
        <v>24</v>
      </c>
      <c r="M113" s="5">
        <v>44993</v>
      </c>
      <c r="N113" s="4">
        <v>499.98</v>
      </c>
      <c r="O113" s="7">
        <f t="shared" ca="1" si="5"/>
        <v>46084.816637962962</v>
      </c>
      <c r="P113" s="8">
        <f t="shared" ca="1" si="6"/>
        <v>46084.816637962962</v>
      </c>
      <c r="Q113">
        <f t="shared" si="7"/>
        <v>133355.75000000006</v>
      </c>
      <c r="R113">
        <f t="shared" si="8"/>
        <v>2.4</v>
      </c>
      <c r="S113">
        <f t="shared" si="9"/>
        <v>599.976</v>
      </c>
      <c r="T113" cm="1">
        <f t="array" ref="T113">SUMPRODUCT(H113:H361*1.2, I113:I361)</f>
        <v>160026.9</v>
      </c>
      <c r="U113" cm="1">
        <f t="array" ref="U113">SUMPRODUCT(H113:H361, I113:I361*0.9)</f>
        <v>120020.17500000013</v>
      </c>
      <c r="V113" cm="1">
        <f t="array" ref="V113">SUMPRODUCT((H113:H361*1.15)*(I113:I361*0.95))</f>
        <v>145691.15687500004</v>
      </c>
      <c r="W113">
        <f>MONTH(Table1[[#This Row],[Date]])</f>
        <v>9</v>
      </c>
    </row>
    <row r="114" spans="1:23" ht="15.75" customHeight="1" x14ac:dyDescent="0.3">
      <c r="A114" s="4" t="s">
        <v>251</v>
      </c>
      <c r="B114" s="5">
        <v>45551</v>
      </c>
      <c r="C114" s="4" t="s">
        <v>156</v>
      </c>
      <c r="D114" s="4" t="s">
        <v>157</v>
      </c>
      <c r="E114" s="4" t="s">
        <v>128</v>
      </c>
      <c r="F114" s="4" t="s">
        <v>129</v>
      </c>
      <c r="G114" s="4" t="s">
        <v>48</v>
      </c>
      <c r="H114" s="4">
        <v>4</v>
      </c>
      <c r="I114" s="4">
        <v>199.99</v>
      </c>
      <c r="J114" s="4" t="s">
        <v>59</v>
      </c>
      <c r="K114" s="4" t="s">
        <v>65</v>
      </c>
      <c r="L114" s="4" t="s">
        <v>24</v>
      </c>
      <c r="M114" s="5">
        <v>44458</v>
      </c>
      <c r="N114" s="4">
        <v>799.96</v>
      </c>
      <c r="O114" s="7">
        <f t="shared" ca="1" si="5"/>
        <v>46084.816637962962</v>
      </c>
      <c r="P114" s="8">
        <f t="shared" ca="1" si="6"/>
        <v>46084.816637962962</v>
      </c>
      <c r="Q114">
        <f t="shared" si="7"/>
        <v>132855.77000000005</v>
      </c>
      <c r="R114">
        <f t="shared" si="8"/>
        <v>4.8</v>
      </c>
      <c r="S114">
        <f t="shared" si="9"/>
        <v>959.952</v>
      </c>
      <c r="T114" cm="1">
        <f t="array" ref="T114">SUMPRODUCT(H114:H362*1.2, I114:I362)</f>
        <v>159426.924</v>
      </c>
      <c r="U114" cm="1">
        <f t="array" ref="U114">SUMPRODUCT(H114:H362, I114:I362*0.9)</f>
        <v>119570.19300000014</v>
      </c>
      <c r="V114" cm="1">
        <f t="array" ref="V114">SUMPRODUCT((H114:H362*1.15)*(I114:I362*0.95))</f>
        <v>145144.92872500003</v>
      </c>
      <c r="W114">
        <f>MONTH(Table1[[#This Row],[Date]])</f>
        <v>9</v>
      </c>
    </row>
    <row r="115" spans="1:23" ht="15.75" customHeight="1" x14ac:dyDescent="0.3">
      <c r="A115" s="4" t="s">
        <v>252</v>
      </c>
      <c r="B115" s="5">
        <v>45554</v>
      </c>
      <c r="C115" s="4" t="s">
        <v>149</v>
      </c>
      <c r="D115" s="4" t="s">
        <v>150</v>
      </c>
      <c r="E115" s="4" t="s">
        <v>119</v>
      </c>
      <c r="F115" s="4" t="s">
        <v>120</v>
      </c>
      <c r="G115" s="4" t="s">
        <v>21</v>
      </c>
      <c r="H115" s="4">
        <v>5</v>
      </c>
      <c r="I115" s="4">
        <v>89.99</v>
      </c>
      <c r="J115" s="4" t="s">
        <v>28</v>
      </c>
      <c r="K115" s="4" t="s">
        <v>65</v>
      </c>
      <c r="L115" s="4" t="s">
        <v>29</v>
      </c>
      <c r="M115" s="5">
        <v>44446</v>
      </c>
      <c r="N115" s="4">
        <v>449.95</v>
      </c>
      <c r="O115" s="7">
        <f t="shared" ca="1" si="5"/>
        <v>46084.816637962962</v>
      </c>
      <c r="P115" s="8">
        <f t="shared" ca="1" si="6"/>
        <v>46084.816637962962</v>
      </c>
      <c r="Q115">
        <f t="shared" si="7"/>
        <v>132055.81000000006</v>
      </c>
      <c r="R115">
        <f t="shared" si="8"/>
        <v>6</v>
      </c>
      <c r="S115">
        <f t="shared" si="9"/>
        <v>539.93999999999994</v>
      </c>
      <c r="T115" cm="1">
        <f t="array" ref="T115">SUMPRODUCT(H115:H363*1.2, I115:I363)</f>
        <v>158466.97200000001</v>
      </c>
      <c r="U115" cm="1">
        <f t="array" ref="U115">SUMPRODUCT(H115:H363, I115:I363*0.9)</f>
        <v>118850.22900000014</v>
      </c>
      <c r="V115" cm="1">
        <f t="array" ref="V115">SUMPRODUCT((H115:H363*1.15)*(I115:I363*0.95))</f>
        <v>144270.97242500004</v>
      </c>
      <c r="W115">
        <f>MONTH(Table1[[#This Row],[Date]])</f>
        <v>9</v>
      </c>
    </row>
    <row r="116" spans="1:23" ht="15.75" customHeight="1" x14ac:dyDescent="0.3">
      <c r="A116" s="4" t="s">
        <v>253</v>
      </c>
      <c r="B116" s="5">
        <v>45554</v>
      </c>
      <c r="C116" s="4" t="s">
        <v>254</v>
      </c>
      <c r="D116" s="4" t="s">
        <v>255</v>
      </c>
      <c r="E116" s="4" t="s">
        <v>54</v>
      </c>
      <c r="F116" s="4" t="s">
        <v>55</v>
      </c>
      <c r="G116" s="4" t="s">
        <v>21</v>
      </c>
      <c r="H116" s="4">
        <v>1</v>
      </c>
      <c r="I116" s="4">
        <v>149.99</v>
      </c>
      <c r="J116" s="4" t="s">
        <v>36</v>
      </c>
      <c r="K116" s="4" t="s">
        <v>65</v>
      </c>
      <c r="L116" s="4" t="s">
        <v>38</v>
      </c>
      <c r="M116" s="5">
        <v>44482</v>
      </c>
      <c r="N116" s="4">
        <v>149.99</v>
      </c>
      <c r="O116" s="7">
        <f t="shared" ca="1" si="5"/>
        <v>46084.816637962962</v>
      </c>
      <c r="P116" s="8">
        <f t="shared" ca="1" si="6"/>
        <v>46084.816637962962</v>
      </c>
      <c r="Q116">
        <f t="shared" si="7"/>
        <v>131605.86000000004</v>
      </c>
      <c r="R116">
        <f t="shared" si="8"/>
        <v>1.2</v>
      </c>
      <c r="S116">
        <f t="shared" si="9"/>
        <v>179.988</v>
      </c>
      <c r="T116" cm="1">
        <f t="array" ref="T116">SUMPRODUCT(H116:H364*1.2, I116:I364)</f>
        <v>157927.03200000001</v>
      </c>
      <c r="U116" cm="1">
        <f t="array" ref="U116">SUMPRODUCT(H116:H364, I116:I364*0.9)</f>
        <v>118445.27400000015</v>
      </c>
      <c r="V116" cm="1">
        <f t="array" ref="V116">SUMPRODUCT((H116:H364*1.15)*(I116:I364*0.95))</f>
        <v>143779.40205000006</v>
      </c>
      <c r="W116">
        <f>MONTH(Table1[[#This Row],[Date]])</f>
        <v>9</v>
      </c>
    </row>
    <row r="117" spans="1:23" ht="15.75" customHeight="1" x14ac:dyDescent="0.3">
      <c r="A117" s="4" t="s">
        <v>256</v>
      </c>
      <c r="B117" s="5">
        <v>45554</v>
      </c>
      <c r="C117" s="4" t="s">
        <v>74</v>
      </c>
      <c r="D117" s="4" t="s">
        <v>75</v>
      </c>
      <c r="E117" s="4" t="s">
        <v>82</v>
      </c>
      <c r="F117" s="4" t="s">
        <v>83</v>
      </c>
      <c r="G117" s="4" t="s">
        <v>21</v>
      </c>
      <c r="H117" s="4">
        <v>4</v>
      </c>
      <c r="I117" s="4">
        <v>699.99</v>
      </c>
      <c r="J117" s="4" t="s">
        <v>36</v>
      </c>
      <c r="K117" s="4" t="s">
        <v>37</v>
      </c>
      <c r="L117" s="4" t="s">
        <v>24</v>
      </c>
      <c r="M117" s="5">
        <v>44618</v>
      </c>
      <c r="N117" s="4">
        <v>2799.96</v>
      </c>
      <c r="O117" s="7">
        <f t="shared" ca="1" si="5"/>
        <v>46084.816637962962</v>
      </c>
      <c r="P117" s="8">
        <f t="shared" ca="1" si="6"/>
        <v>46084.816637962962</v>
      </c>
      <c r="Q117">
        <f t="shared" si="7"/>
        <v>131455.87000000005</v>
      </c>
      <c r="R117">
        <f t="shared" si="8"/>
        <v>4.8</v>
      </c>
      <c r="S117">
        <f t="shared" si="9"/>
        <v>3359.9519999999998</v>
      </c>
      <c r="T117" cm="1">
        <f t="array" ref="T117">SUMPRODUCT(H117:H365*1.2, I117:I365)</f>
        <v>157747.04399999999</v>
      </c>
      <c r="U117" cm="1">
        <f t="array" ref="U117">SUMPRODUCT(H117:H365, I117:I365*0.9)</f>
        <v>118310.28300000014</v>
      </c>
      <c r="V117" cm="1">
        <f t="array" ref="V117">SUMPRODUCT((H117:H365*1.15)*(I117:I365*0.95))</f>
        <v>143615.53797500007</v>
      </c>
      <c r="W117">
        <f>MONTH(Table1[[#This Row],[Date]])</f>
        <v>9</v>
      </c>
    </row>
    <row r="118" spans="1:23" ht="15.75" customHeight="1" x14ac:dyDescent="0.3">
      <c r="A118" s="4" t="s">
        <v>257</v>
      </c>
      <c r="B118" s="5">
        <v>45559</v>
      </c>
      <c r="C118" s="4" t="s">
        <v>236</v>
      </c>
      <c r="D118" s="4" t="s">
        <v>237</v>
      </c>
      <c r="E118" s="4" t="s">
        <v>63</v>
      </c>
      <c r="F118" s="4" t="s">
        <v>64</v>
      </c>
      <c r="G118" s="4" t="s">
        <v>21</v>
      </c>
      <c r="H118" s="4">
        <v>3</v>
      </c>
      <c r="I118" s="4">
        <v>899.99</v>
      </c>
      <c r="J118" s="4" t="s">
        <v>28</v>
      </c>
      <c r="K118" s="4" t="s">
        <v>42</v>
      </c>
      <c r="L118" s="4" t="s">
        <v>38</v>
      </c>
      <c r="M118" s="5">
        <v>45157</v>
      </c>
      <c r="N118" s="4">
        <v>2699.97</v>
      </c>
      <c r="O118" s="7">
        <f t="shared" ca="1" si="5"/>
        <v>46084.816637962962</v>
      </c>
      <c r="P118" s="8">
        <f t="shared" ca="1" si="6"/>
        <v>46084.816637962962</v>
      </c>
      <c r="Q118">
        <f t="shared" si="7"/>
        <v>128655.91000000006</v>
      </c>
      <c r="R118">
        <f t="shared" si="8"/>
        <v>3.5999999999999996</v>
      </c>
      <c r="S118">
        <f t="shared" si="9"/>
        <v>3239.9639999999995</v>
      </c>
      <c r="T118" cm="1">
        <f t="array" ref="T118">SUMPRODUCT(H118:H366*1.2, I118:I366)</f>
        <v>154387.092</v>
      </c>
      <c r="U118" cm="1">
        <f t="array" ref="U118">SUMPRODUCT(H118:H366, I118:I366*0.9)</f>
        <v>115790.31900000013</v>
      </c>
      <c r="V118" cm="1">
        <f t="array" ref="V118">SUMPRODUCT((H118:H366*1.15)*(I118:I366*0.95))</f>
        <v>140556.58167500005</v>
      </c>
      <c r="W118">
        <f>MONTH(Table1[[#This Row],[Date]])</f>
        <v>9</v>
      </c>
    </row>
    <row r="119" spans="1:23" ht="15.75" customHeight="1" x14ac:dyDescent="0.3">
      <c r="A119" s="4" t="s">
        <v>258</v>
      </c>
      <c r="B119" s="5">
        <v>45560</v>
      </c>
      <c r="C119" s="4" t="s">
        <v>114</v>
      </c>
      <c r="D119" s="4" t="s">
        <v>115</v>
      </c>
      <c r="E119" s="4" t="s">
        <v>46</v>
      </c>
      <c r="F119" s="4" t="s">
        <v>47</v>
      </c>
      <c r="G119" s="4" t="s">
        <v>48</v>
      </c>
      <c r="H119" s="4">
        <v>3</v>
      </c>
      <c r="I119" s="4">
        <v>149.99</v>
      </c>
      <c r="J119" s="4" t="s">
        <v>36</v>
      </c>
      <c r="K119" s="4" t="s">
        <v>65</v>
      </c>
      <c r="L119" s="4" t="s">
        <v>24</v>
      </c>
      <c r="M119" s="5">
        <v>44886</v>
      </c>
      <c r="N119" s="4">
        <v>449.97</v>
      </c>
      <c r="O119" s="7">
        <f t="shared" ca="1" si="5"/>
        <v>46084.816637962962</v>
      </c>
      <c r="P119" s="8">
        <f t="shared" ca="1" si="6"/>
        <v>46084.816637962962</v>
      </c>
      <c r="Q119">
        <f t="shared" si="7"/>
        <v>125955.94000000005</v>
      </c>
      <c r="R119">
        <f t="shared" si="8"/>
        <v>3.5999999999999996</v>
      </c>
      <c r="S119">
        <f t="shared" si="9"/>
        <v>539.96399999999994</v>
      </c>
      <c r="T119" cm="1">
        <f t="array" ref="T119">SUMPRODUCT(H119:H367*1.2, I119:I367)</f>
        <v>151147.12800000003</v>
      </c>
      <c r="U119" cm="1">
        <f t="array" ref="U119">SUMPRODUCT(H119:H367, I119:I367*0.9)</f>
        <v>113360.34600000011</v>
      </c>
      <c r="V119" cm="1">
        <f t="array" ref="V119">SUMPRODUCT((H119:H367*1.15)*(I119:I367*0.95))</f>
        <v>137606.86445000002</v>
      </c>
      <c r="W119">
        <f>MONTH(Table1[[#This Row],[Date]])</f>
        <v>9</v>
      </c>
    </row>
    <row r="120" spans="1:23" ht="15.75" customHeight="1" x14ac:dyDescent="0.3">
      <c r="A120" s="4" t="s">
        <v>259</v>
      </c>
      <c r="B120" s="5">
        <v>45563</v>
      </c>
      <c r="C120" s="4" t="s">
        <v>101</v>
      </c>
      <c r="D120" s="4" t="s">
        <v>102</v>
      </c>
      <c r="E120" s="4" t="s">
        <v>107</v>
      </c>
      <c r="F120" s="4" t="s">
        <v>108</v>
      </c>
      <c r="G120" s="4" t="s">
        <v>48</v>
      </c>
      <c r="H120" s="4">
        <v>2</v>
      </c>
      <c r="I120" s="4">
        <v>299.99</v>
      </c>
      <c r="J120" s="4" t="s">
        <v>59</v>
      </c>
      <c r="K120" s="4" t="s">
        <v>23</v>
      </c>
      <c r="L120" s="4" t="s">
        <v>24</v>
      </c>
      <c r="M120" s="5">
        <v>44569</v>
      </c>
      <c r="N120" s="4">
        <v>599.98</v>
      </c>
      <c r="O120" s="7">
        <f t="shared" ca="1" si="5"/>
        <v>46084.816637962962</v>
      </c>
      <c r="P120" s="8">
        <f t="shared" ca="1" si="6"/>
        <v>46084.816637962962</v>
      </c>
      <c r="Q120">
        <f t="shared" si="7"/>
        <v>125505.97000000004</v>
      </c>
      <c r="R120">
        <f t="shared" si="8"/>
        <v>2.4</v>
      </c>
      <c r="S120">
        <f t="shared" si="9"/>
        <v>719.976</v>
      </c>
      <c r="T120" cm="1">
        <f t="array" ref="T120">SUMPRODUCT(H120:H368*1.2, I120:I368)</f>
        <v>150607.16400000002</v>
      </c>
      <c r="U120" cm="1">
        <f t="array" ref="U120">SUMPRODUCT(H120:H368, I120:I368*0.9)</f>
        <v>112955.37300000011</v>
      </c>
      <c r="V120" cm="1">
        <f t="array" ref="V120">SUMPRODUCT((H120:H368*1.15)*(I120:I368*0.95))</f>
        <v>137115.27222500002</v>
      </c>
      <c r="W120">
        <f>MONTH(Table1[[#This Row],[Date]])</f>
        <v>9</v>
      </c>
    </row>
    <row r="121" spans="1:23" ht="15.75" customHeight="1" x14ac:dyDescent="0.3">
      <c r="A121" s="4" t="s">
        <v>260</v>
      </c>
      <c r="B121" s="5">
        <v>45564</v>
      </c>
      <c r="C121" s="4" t="s">
        <v>261</v>
      </c>
      <c r="D121" s="4" t="s">
        <v>262</v>
      </c>
      <c r="E121" s="4" t="s">
        <v>128</v>
      </c>
      <c r="F121" s="4" t="s">
        <v>129</v>
      </c>
      <c r="G121" s="4" t="s">
        <v>48</v>
      </c>
      <c r="H121" s="4">
        <v>1</v>
      </c>
      <c r="I121" s="4">
        <v>199.99</v>
      </c>
      <c r="J121" s="4" t="s">
        <v>59</v>
      </c>
      <c r="K121" s="4" t="s">
        <v>65</v>
      </c>
      <c r="L121" s="4" t="s">
        <v>38</v>
      </c>
      <c r="M121" s="5">
        <v>44953</v>
      </c>
      <c r="N121" s="4">
        <v>199.99</v>
      </c>
      <c r="O121" s="7">
        <f t="shared" ca="1" si="5"/>
        <v>46084.816637962962</v>
      </c>
      <c r="P121" s="8">
        <f t="shared" ca="1" si="6"/>
        <v>46084.816637962962</v>
      </c>
      <c r="Q121">
        <f t="shared" si="7"/>
        <v>124905.99000000005</v>
      </c>
      <c r="R121">
        <f t="shared" si="8"/>
        <v>1.2</v>
      </c>
      <c r="S121">
        <f t="shared" si="9"/>
        <v>239.988</v>
      </c>
      <c r="T121" cm="1">
        <f t="array" ref="T121">SUMPRODUCT(H121:H369*1.2, I121:I369)</f>
        <v>149887.18799999999</v>
      </c>
      <c r="U121" cm="1">
        <f t="array" ref="U121">SUMPRODUCT(H121:H369, I121:I369*0.9)</f>
        <v>112415.39100000012</v>
      </c>
      <c r="V121" cm="1">
        <f t="array" ref="V121">SUMPRODUCT((H121:H369*1.15)*(I121:I369*0.95))</f>
        <v>136459.79407500001</v>
      </c>
      <c r="W121">
        <f>MONTH(Table1[[#This Row],[Date]])</f>
        <v>9</v>
      </c>
    </row>
    <row r="122" spans="1:23" ht="15.75" customHeight="1" x14ac:dyDescent="0.3">
      <c r="A122" s="4" t="s">
        <v>263</v>
      </c>
      <c r="B122" s="5">
        <v>45566</v>
      </c>
      <c r="C122" s="4" t="s">
        <v>44</v>
      </c>
      <c r="D122" s="4" t="s">
        <v>45</v>
      </c>
      <c r="E122" s="4" t="s">
        <v>107</v>
      </c>
      <c r="F122" s="4" t="s">
        <v>108</v>
      </c>
      <c r="G122" s="4" t="s">
        <v>48</v>
      </c>
      <c r="H122" s="4">
        <v>4</v>
      </c>
      <c r="I122" s="4">
        <v>299.99</v>
      </c>
      <c r="J122" s="4" t="s">
        <v>22</v>
      </c>
      <c r="K122" s="4" t="s">
        <v>23</v>
      </c>
      <c r="L122" s="4" t="s">
        <v>29</v>
      </c>
      <c r="M122" s="5">
        <v>44460</v>
      </c>
      <c r="N122" s="4">
        <v>1199.96</v>
      </c>
      <c r="O122" s="7">
        <f t="shared" ca="1" si="5"/>
        <v>46084.816637962962</v>
      </c>
      <c r="P122" s="8">
        <f t="shared" ca="1" si="6"/>
        <v>46084.816637962962</v>
      </c>
      <c r="Q122">
        <f t="shared" si="7"/>
        <v>124706.00000000004</v>
      </c>
      <c r="R122">
        <f t="shared" si="8"/>
        <v>4.8</v>
      </c>
      <c r="S122">
        <f t="shared" si="9"/>
        <v>1439.952</v>
      </c>
      <c r="T122" cm="1">
        <f t="array" ref="T122">SUMPRODUCT(H122:H370*1.2, I122:I370)</f>
        <v>149647.20000000001</v>
      </c>
      <c r="U122" cm="1">
        <f t="array" ref="U122">SUMPRODUCT(H122:H370, I122:I370*0.9)</f>
        <v>112235.40000000011</v>
      </c>
      <c r="V122" cm="1">
        <f t="array" ref="V122">SUMPRODUCT((H122:H370*1.15)*(I122:I370*0.95))</f>
        <v>136241.30500000002</v>
      </c>
      <c r="W122">
        <f>MONTH(Table1[[#This Row],[Date]])</f>
        <v>10</v>
      </c>
    </row>
    <row r="123" spans="1:23" ht="15.75" customHeight="1" x14ac:dyDescent="0.3">
      <c r="A123" s="4" t="s">
        <v>264</v>
      </c>
      <c r="B123" s="5">
        <v>45572</v>
      </c>
      <c r="C123" s="4" t="s">
        <v>91</v>
      </c>
      <c r="D123" s="4" t="s">
        <v>92</v>
      </c>
      <c r="E123" s="4" t="s">
        <v>33</v>
      </c>
      <c r="F123" s="4" t="s">
        <v>34</v>
      </c>
      <c r="G123" s="4" t="s">
        <v>35</v>
      </c>
      <c r="H123" s="4">
        <v>2</v>
      </c>
      <c r="I123" s="4">
        <v>59.99</v>
      </c>
      <c r="J123" s="4" t="s">
        <v>28</v>
      </c>
      <c r="K123" s="4" t="s">
        <v>23</v>
      </c>
      <c r="L123" s="4" t="s">
        <v>24</v>
      </c>
      <c r="M123" s="5">
        <v>44579</v>
      </c>
      <c r="N123" s="4">
        <v>119.98</v>
      </c>
      <c r="O123" s="7">
        <f t="shared" ca="1" si="5"/>
        <v>46084.816637962962</v>
      </c>
      <c r="P123" s="8">
        <f t="shared" ca="1" si="6"/>
        <v>46084.816637962962</v>
      </c>
      <c r="Q123">
        <f t="shared" si="7"/>
        <v>123506.04000000002</v>
      </c>
      <c r="R123">
        <f t="shared" si="8"/>
        <v>2.4</v>
      </c>
      <c r="S123">
        <f t="shared" si="9"/>
        <v>143.976</v>
      </c>
      <c r="T123" cm="1">
        <f t="array" ref="T123">SUMPRODUCT(H123:H371*1.2, I123:I371)</f>
        <v>148207.24800000002</v>
      </c>
      <c r="U123" cm="1">
        <f t="array" ref="U123">SUMPRODUCT(H123:H371, I123:I371*0.9)</f>
        <v>111155.4360000001</v>
      </c>
      <c r="V123" cm="1">
        <f t="array" ref="V123">SUMPRODUCT((H123:H371*1.15)*(I123:I371*0.95))</f>
        <v>134930.34870000003</v>
      </c>
      <c r="W123">
        <f>MONTH(Table1[[#This Row],[Date]])</f>
        <v>10</v>
      </c>
    </row>
    <row r="124" spans="1:23" ht="15.75" customHeight="1" x14ac:dyDescent="0.3">
      <c r="A124" s="4" t="s">
        <v>265</v>
      </c>
      <c r="B124" s="5">
        <v>45572</v>
      </c>
      <c r="C124" s="4" t="s">
        <v>236</v>
      </c>
      <c r="D124" s="4" t="s">
        <v>237</v>
      </c>
      <c r="E124" s="4" t="s">
        <v>54</v>
      </c>
      <c r="F124" s="4" t="s">
        <v>55</v>
      </c>
      <c r="G124" s="4" t="s">
        <v>21</v>
      </c>
      <c r="H124" s="4">
        <v>4</v>
      </c>
      <c r="I124" s="4">
        <v>149.99</v>
      </c>
      <c r="J124" s="4" t="s">
        <v>28</v>
      </c>
      <c r="K124" s="4" t="s">
        <v>42</v>
      </c>
      <c r="L124" s="4" t="s">
        <v>29</v>
      </c>
      <c r="M124" s="5">
        <v>45076</v>
      </c>
      <c r="N124" s="4">
        <v>599.96</v>
      </c>
      <c r="O124" s="7">
        <f t="shared" ca="1" si="5"/>
        <v>46084.816637962962</v>
      </c>
      <c r="P124" s="8">
        <f t="shared" ca="1" si="6"/>
        <v>46084.816637962962</v>
      </c>
      <c r="Q124">
        <f t="shared" si="7"/>
        <v>123386.06000000003</v>
      </c>
      <c r="R124">
        <f t="shared" si="8"/>
        <v>4.8</v>
      </c>
      <c r="S124">
        <f t="shared" si="9"/>
        <v>719.952</v>
      </c>
      <c r="T124" cm="1">
        <f t="array" ref="T124">SUMPRODUCT(H124:H372*1.2, I124:I372)</f>
        <v>148063.27200000003</v>
      </c>
      <c r="U124" cm="1">
        <f t="array" ref="U124">SUMPRODUCT(H124:H372, I124:I372*0.9)</f>
        <v>111047.45400000011</v>
      </c>
      <c r="V124" cm="1">
        <f t="array" ref="V124">SUMPRODUCT((H124:H372*1.15)*(I124:I372*0.95))</f>
        <v>134799.27055000002</v>
      </c>
      <c r="W124">
        <f>MONTH(Table1[[#This Row],[Date]])</f>
        <v>10</v>
      </c>
    </row>
    <row r="125" spans="1:23" ht="15.75" customHeight="1" x14ac:dyDescent="0.3">
      <c r="A125" s="4" t="s">
        <v>266</v>
      </c>
      <c r="B125" s="5">
        <v>45573</v>
      </c>
      <c r="C125" s="4" t="s">
        <v>213</v>
      </c>
      <c r="D125" s="4" t="s">
        <v>214</v>
      </c>
      <c r="E125" s="4" t="s">
        <v>82</v>
      </c>
      <c r="F125" s="4" t="s">
        <v>83</v>
      </c>
      <c r="G125" s="4" t="s">
        <v>21</v>
      </c>
      <c r="H125" s="4">
        <v>2</v>
      </c>
      <c r="I125" s="4">
        <v>699.99</v>
      </c>
      <c r="J125" s="4" t="s">
        <v>59</v>
      </c>
      <c r="K125" s="4" t="s">
        <v>65</v>
      </c>
      <c r="L125" s="4" t="s">
        <v>29</v>
      </c>
      <c r="M125" s="5">
        <v>45274</v>
      </c>
      <c r="N125" s="4">
        <v>1399.98</v>
      </c>
      <c r="O125" s="7">
        <f t="shared" ca="1" si="5"/>
        <v>46084.816637962962</v>
      </c>
      <c r="P125" s="8">
        <f t="shared" ca="1" si="6"/>
        <v>46084.816637962962</v>
      </c>
      <c r="Q125">
        <f t="shared" si="7"/>
        <v>122786.10000000003</v>
      </c>
      <c r="R125">
        <f t="shared" si="8"/>
        <v>2.4</v>
      </c>
      <c r="S125">
        <f t="shared" si="9"/>
        <v>1679.9759999999999</v>
      </c>
      <c r="T125" cm="1">
        <f t="array" ref="T125">SUMPRODUCT(H125:H373*1.2, I125:I373)</f>
        <v>147343.32000000004</v>
      </c>
      <c r="U125" cm="1">
        <f t="array" ref="U125">SUMPRODUCT(H125:H373, I125:I373*0.9)</f>
        <v>110507.49000000011</v>
      </c>
      <c r="V125" cm="1">
        <f t="array" ref="V125">SUMPRODUCT((H125:H373*1.15)*(I125:I373*0.95))</f>
        <v>134143.81425000002</v>
      </c>
      <c r="W125">
        <f>MONTH(Table1[[#This Row],[Date]])</f>
        <v>10</v>
      </c>
    </row>
    <row r="126" spans="1:23" ht="15.75" customHeight="1" x14ac:dyDescent="0.3">
      <c r="A126" s="4" t="s">
        <v>267</v>
      </c>
      <c r="B126" s="5">
        <v>45573</v>
      </c>
      <c r="C126" s="4" t="s">
        <v>233</v>
      </c>
      <c r="D126" s="4" t="s">
        <v>234</v>
      </c>
      <c r="E126" s="4" t="s">
        <v>46</v>
      </c>
      <c r="F126" s="4" t="s">
        <v>47</v>
      </c>
      <c r="G126" s="4" t="s">
        <v>48</v>
      </c>
      <c r="H126" s="4">
        <v>3</v>
      </c>
      <c r="I126" s="4">
        <v>149.99</v>
      </c>
      <c r="J126" s="4" t="s">
        <v>28</v>
      </c>
      <c r="K126" s="4" t="s">
        <v>37</v>
      </c>
      <c r="L126" s="4" t="s">
        <v>38</v>
      </c>
      <c r="M126" s="5">
        <v>44940</v>
      </c>
      <c r="N126" s="4">
        <v>449.97</v>
      </c>
      <c r="O126" s="7">
        <f t="shared" ca="1" si="5"/>
        <v>46084.816637962962</v>
      </c>
      <c r="P126" s="8">
        <f t="shared" ca="1" si="6"/>
        <v>46084.816637962962</v>
      </c>
      <c r="Q126">
        <f t="shared" si="7"/>
        <v>121386.12000000002</v>
      </c>
      <c r="R126">
        <f t="shared" si="8"/>
        <v>3.5999999999999996</v>
      </c>
      <c r="S126">
        <f t="shared" si="9"/>
        <v>539.96399999999994</v>
      </c>
      <c r="T126" cm="1">
        <f t="array" ref="T126">SUMPRODUCT(H126:H374*1.2, I126:I374)</f>
        <v>145663.34399999998</v>
      </c>
      <c r="U126" cm="1">
        <f t="array" ref="U126">SUMPRODUCT(H126:H374, I126:I374*0.9)</f>
        <v>109247.50800000012</v>
      </c>
      <c r="V126" cm="1">
        <f t="array" ref="V126">SUMPRODUCT((H126:H374*1.15)*(I126:I374*0.95))</f>
        <v>132614.33610000001</v>
      </c>
      <c r="W126">
        <f>MONTH(Table1[[#This Row],[Date]])</f>
        <v>10</v>
      </c>
    </row>
    <row r="127" spans="1:23" ht="15.75" customHeight="1" x14ac:dyDescent="0.3">
      <c r="A127" s="4" t="s">
        <v>268</v>
      </c>
      <c r="B127" s="5">
        <v>45576</v>
      </c>
      <c r="C127" s="4" t="s">
        <v>149</v>
      </c>
      <c r="D127" s="4" t="s">
        <v>150</v>
      </c>
      <c r="E127" s="4" t="s">
        <v>107</v>
      </c>
      <c r="F127" s="4" t="s">
        <v>108</v>
      </c>
      <c r="G127" s="4" t="s">
        <v>48</v>
      </c>
      <c r="H127" s="4">
        <v>3</v>
      </c>
      <c r="I127" s="4">
        <v>299.99</v>
      </c>
      <c r="J127" s="4" t="s">
        <v>28</v>
      </c>
      <c r="K127" s="4" t="s">
        <v>23</v>
      </c>
      <c r="L127" s="4" t="s">
        <v>38</v>
      </c>
      <c r="M127" s="5">
        <v>45174</v>
      </c>
      <c r="N127" s="4">
        <v>899.97</v>
      </c>
      <c r="O127" s="7">
        <f t="shared" ca="1" si="5"/>
        <v>46084.816637962962</v>
      </c>
      <c r="P127" s="8">
        <f t="shared" ca="1" si="6"/>
        <v>46084.816637962962</v>
      </c>
      <c r="Q127">
        <f t="shared" si="7"/>
        <v>120936.15000000002</v>
      </c>
      <c r="R127">
        <f t="shared" si="8"/>
        <v>3.5999999999999996</v>
      </c>
      <c r="S127">
        <f t="shared" si="9"/>
        <v>1079.9639999999999</v>
      </c>
      <c r="T127" cm="1">
        <f t="array" ref="T127">SUMPRODUCT(H127:H375*1.2, I127:I375)</f>
        <v>145123.38</v>
      </c>
      <c r="U127" cm="1">
        <f t="array" ref="U127">SUMPRODUCT(H127:H375, I127:I375*0.9)</f>
        <v>108842.53500000012</v>
      </c>
      <c r="V127" cm="1">
        <f t="array" ref="V127">SUMPRODUCT((H127:H375*1.15)*(I127:I375*0.95))</f>
        <v>132122.74387500001</v>
      </c>
      <c r="W127">
        <f>MONTH(Table1[[#This Row],[Date]])</f>
        <v>10</v>
      </c>
    </row>
    <row r="128" spans="1:23" ht="15.75" customHeight="1" x14ac:dyDescent="0.3">
      <c r="A128" s="4" t="s">
        <v>269</v>
      </c>
      <c r="B128" s="5">
        <v>45579</v>
      </c>
      <c r="C128" s="4" t="s">
        <v>85</v>
      </c>
      <c r="D128" s="4" t="s">
        <v>86</v>
      </c>
      <c r="E128" s="4" t="s">
        <v>63</v>
      </c>
      <c r="F128" s="4" t="s">
        <v>64</v>
      </c>
      <c r="G128" s="4" t="s">
        <v>21</v>
      </c>
      <c r="H128" s="4">
        <v>3</v>
      </c>
      <c r="I128" s="4">
        <v>899.99</v>
      </c>
      <c r="J128" s="4" t="s">
        <v>36</v>
      </c>
      <c r="K128" s="4" t="s">
        <v>52</v>
      </c>
      <c r="L128" s="4" t="s">
        <v>24</v>
      </c>
      <c r="M128" s="5">
        <v>45215</v>
      </c>
      <c r="N128" s="4">
        <v>2699.97</v>
      </c>
      <c r="O128" s="7">
        <f t="shared" ca="1" si="5"/>
        <v>46084.816637962962</v>
      </c>
      <c r="P128" s="8">
        <f t="shared" ca="1" si="6"/>
        <v>46084.816637962962</v>
      </c>
      <c r="Q128">
        <f t="shared" si="7"/>
        <v>120036.18000000002</v>
      </c>
      <c r="R128">
        <f t="shared" si="8"/>
        <v>3.5999999999999996</v>
      </c>
      <c r="S128">
        <f t="shared" si="9"/>
        <v>3239.9639999999995</v>
      </c>
      <c r="T128" cm="1">
        <f t="array" ref="T128">SUMPRODUCT(H128:H376*1.2, I128:I376)</f>
        <v>144043.416</v>
      </c>
      <c r="U128" cm="1">
        <f t="array" ref="U128">SUMPRODUCT(H128:H376, I128:I376*0.9)</f>
        <v>108032.56200000009</v>
      </c>
      <c r="V128" cm="1">
        <f t="array" ref="V128">SUMPRODUCT((H128:H376*1.15)*(I128:I376*0.95))</f>
        <v>131139.52665000001</v>
      </c>
      <c r="W128">
        <f>MONTH(Table1[[#This Row],[Date]])</f>
        <v>10</v>
      </c>
    </row>
    <row r="129" spans="1:23" ht="15.75" customHeight="1" x14ac:dyDescent="0.3">
      <c r="A129" s="4" t="s">
        <v>270</v>
      </c>
      <c r="B129" s="5">
        <v>45581</v>
      </c>
      <c r="C129" s="4" t="s">
        <v>98</v>
      </c>
      <c r="D129" s="4" t="s">
        <v>99</v>
      </c>
      <c r="E129" s="4" t="s">
        <v>82</v>
      </c>
      <c r="F129" s="4" t="s">
        <v>83</v>
      </c>
      <c r="G129" s="4" t="s">
        <v>21</v>
      </c>
      <c r="H129" s="4">
        <v>5</v>
      </c>
      <c r="I129" s="4">
        <v>699.99</v>
      </c>
      <c r="J129" s="4" t="s">
        <v>22</v>
      </c>
      <c r="K129" s="4" t="s">
        <v>65</v>
      </c>
      <c r="L129" s="4" t="s">
        <v>38</v>
      </c>
      <c r="M129" s="5">
        <v>45008</v>
      </c>
      <c r="N129" s="4">
        <v>3499.95</v>
      </c>
      <c r="O129" s="7">
        <f t="shared" ca="1" si="5"/>
        <v>46084.816637962962</v>
      </c>
      <c r="P129" s="8">
        <f t="shared" ca="1" si="6"/>
        <v>46084.816637962962</v>
      </c>
      <c r="Q129">
        <f t="shared" si="7"/>
        <v>117336.21</v>
      </c>
      <c r="R129">
        <f t="shared" si="8"/>
        <v>6</v>
      </c>
      <c r="S129">
        <f t="shared" si="9"/>
        <v>4199.9400000000005</v>
      </c>
      <c r="T129" cm="1">
        <f t="array" ref="T129">SUMPRODUCT(H129:H377*1.2, I129:I377)</f>
        <v>140803.45200000002</v>
      </c>
      <c r="U129" cm="1">
        <f t="array" ref="U129">SUMPRODUCT(H129:H377, I129:I377*0.9)</f>
        <v>105602.58900000009</v>
      </c>
      <c r="V129" cm="1">
        <f t="array" ref="V129">SUMPRODUCT((H129:H377*1.15)*(I129:I377*0.95))</f>
        <v>128189.809425</v>
      </c>
      <c r="W129">
        <f>MONTH(Table1[[#This Row],[Date]])</f>
        <v>10</v>
      </c>
    </row>
    <row r="130" spans="1:23" ht="15.75" customHeight="1" x14ac:dyDescent="0.3">
      <c r="A130" s="4" t="s">
        <v>271</v>
      </c>
      <c r="B130" s="5">
        <v>45581</v>
      </c>
      <c r="C130" s="4" t="s">
        <v>173</v>
      </c>
      <c r="D130" s="4" t="s">
        <v>174</v>
      </c>
      <c r="E130" s="4" t="s">
        <v>82</v>
      </c>
      <c r="F130" s="4" t="s">
        <v>83</v>
      </c>
      <c r="G130" s="4" t="s">
        <v>21</v>
      </c>
      <c r="H130" s="4">
        <v>4</v>
      </c>
      <c r="I130" s="4">
        <v>699.99</v>
      </c>
      <c r="J130" s="4" t="s">
        <v>28</v>
      </c>
      <c r="K130" s="4" t="s">
        <v>23</v>
      </c>
      <c r="L130" s="4" t="s">
        <v>24</v>
      </c>
      <c r="M130" s="5">
        <v>45385</v>
      </c>
      <c r="N130" s="4">
        <v>2799.96</v>
      </c>
      <c r="O130" s="7">
        <f t="shared" ref="O130:O193" ca="1" si="10">NOW()</f>
        <v>46084.816637962962</v>
      </c>
      <c r="P130" s="8">
        <f t="shared" ref="P130:P193" ca="1" si="11">IF(A130&lt;&gt;"", IF(O130="", NOW(), O130), "")</f>
        <v>46084.816637962962</v>
      </c>
      <c r="Q130">
        <f t="shared" ref="Q130:Q193" si="12">SUM(N130:N378)</f>
        <v>113836.26</v>
      </c>
      <c r="R130">
        <f t="shared" ref="R130:R193" si="13">H130*1.2</f>
        <v>4.8</v>
      </c>
      <c r="S130">
        <f t="shared" ref="S130:S193" si="14">(H130*1.2)*I130</f>
        <v>3359.9519999999998</v>
      </c>
      <c r="T130" cm="1">
        <f t="array" ref="T130">SUMPRODUCT(H130:H378*1.2, I130:I378)</f>
        <v>136603.51200000002</v>
      </c>
      <c r="U130" cm="1">
        <f t="array" ref="U130">SUMPRODUCT(H130:H378, I130:I378*0.9)</f>
        <v>102452.63400000009</v>
      </c>
      <c r="V130" cm="1">
        <f t="array" ref="V130">SUMPRODUCT((H130:H378*1.15)*(I130:I378*0.95))</f>
        <v>124366.11405</v>
      </c>
      <c r="W130">
        <f>MONTH(Table1[[#This Row],[Date]])</f>
        <v>10</v>
      </c>
    </row>
    <row r="131" spans="1:23" ht="15.75" customHeight="1" x14ac:dyDescent="0.3">
      <c r="A131" s="4" t="s">
        <v>272</v>
      </c>
      <c r="B131" s="5">
        <v>45581</v>
      </c>
      <c r="C131" s="4" t="s">
        <v>152</v>
      </c>
      <c r="D131" s="4" t="s">
        <v>153</v>
      </c>
      <c r="E131" s="4" t="s">
        <v>63</v>
      </c>
      <c r="F131" s="4" t="s">
        <v>64</v>
      </c>
      <c r="G131" s="4" t="s">
        <v>21</v>
      </c>
      <c r="H131" s="4">
        <v>1</v>
      </c>
      <c r="I131" s="4">
        <v>899.99</v>
      </c>
      <c r="J131" s="4" t="s">
        <v>28</v>
      </c>
      <c r="K131" s="4" t="s">
        <v>65</v>
      </c>
      <c r="L131" s="4" t="s">
        <v>38</v>
      </c>
      <c r="M131" s="5">
        <v>45369</v>
      </c>
      <c r="N131" s="4">
        <v>899.99</v>
      </c>
      <c r="O131" s="7">
        <f t="shared" ca="1" si="10"/>
        <v>46084.816637962962</v>
      </c>
      <c r="P131" s="8">
        <f t="shared" ca="1" si="11"/>
        <v>46084.816637962962</v>
      </c>
      <c r="Q131">
        <f t="shared" si="12"/>
        <v>111036.29999999999</v>
      </c>
      <c r="R131">
        <f t="shared" si="13"/>
        <v>1.2</v>
      </c>
      <c r="S131">
        <f t="shared" si="14"/>
        <v>1079.9880000000001</v>
      </c>
      <c r="T131" cm="1">
        <f t="array" ref="T131">SUMPRODUCT(H131:H379*1.2, I131:I379)</f>
        <v>133243.55999999997</v>
      </c>
      <c r="U131" cm="1">
        <f t="array" ref="U131">SUMPRODUCT(H131:H379, I131:I379*0.9)</f>
        <v>99932.670000000086</v>
      </c>
      <c r="V131" cm="1">
        <f t="array" ref="V131">SUMPRODUCT((H131:H379*1.15)*(I131:I379*0.95))</f>
        <v>121307.15775</v>
      </c>
      <c r="W131">
        <f>MONTH(Table1[[#This Row],[Date]])</f>
        <v>10</v>
      </c>
    </row>
    <row r="132" spans="1:23" ht="15.75" customHeight="1" x14ac:dyDescent="0.3">
      <c r="A132" s="4" t="s">
        <v>273</v>
      </c>
      <c r="B132" s="5">
        <v>45583</v>
      </c>
      <c r="C132" s="4" t="s">
        <v>228</v>
      </c>
      <c r="D132" s="4" t="s">
        <v>229</v>
      </c>
      <c r="E132" s="4" t="s">
        <v>54</v>
      </c>
      <c r="F132" s="4" t="s">
        <v>55</v>
      </c>
      <c r="G132" s="4" t="s">
        <v>21</v>
      </c>
      <c r="H132" s="4">
        <v>2</v>
      </c>
      <c r="I132" s="4">
        <v>149.99</v>
      </c>
      <c r="J132" s="4" t="s">
        <v>28</v>
      </c>
      <c r="K132" s="4" t="s">
        <v>52</v>
      </c>
      <c r="L132" s="4" t="s">
        <v>24</v>
      </c>
      <c r="M132" s="5">
        <v>44916</v>
      </c>
      <c r="N132" s="4">
        <v>299.98</v>
      </c>
      <c r="O132" s="7">
        <f t="shared" ca="1" si="10"/>
        <v>46084.816637962962</v>
      </c>
      <c r="P132" s="8">
        <f t="shared" ca="1" si="11"/>
        <v>46084.816637962962</v>
      </c>
      <c r="Q132">
        <f t="shared" si="12"/>
        <v>110136.31</v>
      </c>
      <c r="R132">
        <f t="shared" si="13"/>
        <v>2.4</v>
      </c>
      <c r="S132">
        <f t="shared" si="14"/>
        <v>359.976</v>
      </c>
      <c r="T132" cm="1">
        <f t="array" ref="T132">SUMPRODUCT(H132:H380*1.2, I132:I380)</f>
        <v>132163.57199999996</v>
      </c>
      <c r="U132" cm="1">
        <f t="array" ref="U132">SUMPRODUCT(H132:H380, I132:I380*0.9)</f>
        <v>99122.679000000091</v>
      </c>
      <c r="V132" cm="1">
        <f t="array" ref="V132">SUMPRODUCT((H132:H380*1.15)*(I132:I380*0.95))</f>
        <v>120323.91867499999</v>
      </c>
      <c r="W132">
        <f>MONTH(Table1[[#This Row],[Date]])</f>
        <v>10</v>
      </c>
    </row>
    <row r="133" spans="1:23" ht="15.75" customHeight="1" x14ac:dyDescent="0.3">
      <c r="A133" s="4" t="s">
        <v>274</v>
      </c>
      <c r="B133" s="5">
        <v>45586</v>
      </c>
      <c r="C133" s="4" t="s">
        <v>228</v>
      </c>
      <c r="D133" s="4" t="s">
        <v>229</v>
      </c>
      <c r="E133" s="4" t="s">
        <v>119</v>
      </c>
      <c r="F133" s="4" t="s">
        <v>120</v>
      </c>
      <c r="G133" s="4" t="s">
        <v>21</v>
      </c>
      <c r="H133" s="4">
        <v>3</v>
      </c>
      <c r="I133" s="4">
        <v>89.99</v>
      </c>
      <c r="J133" s="4" t="s">
        <v>36</v>
      </c>
      <c r="K133" s="4" t="s">
        <v>23</v>
      </c>
      <c r="L133" s="4" t="s">
        <v>24</v>
      </c>
      <c r="M133" s="5">
        <v>44551</v>
      </c>
      <c r="N133" s="4">
        <v>269.97000000000003</v>
      </c>
      <c r="O133" s="7">
        <f t="shared" ca="1" si="10"/>
        <v>46084.816637962962</v>
      </c>
      <c r="P133" s="8">
        <f t="shared" ca="1" si="11"/>
        <v>46084.816637962962</v>
      </c>
      <c r="Q133">
        <f t="shared" si="12"/>
        <v>109836.33</v>
      </c>
      <c r="R133">
        <f t="shared" si="13"/>
        <v>3.5999999999999996</v>
      </c>
      <c r="S133">
        <f t="shared" si="14"/>
        <v>323.96399999999994</v>
      </c>
      <c r="T133" cm="1">
        <f t="array" ref="T133">SUMPRODUCT(H133:H381*1.2, I133:I381)</f>
        <v>131803.59599999996</v>
      </c>
      <c r="U133" cm="1">
        <f t="array" ref="U133">SUMPRODUCT(H133:H381, I133:I381*0.9)</f>
        <v>98852.697000000087</v>
      </c>
      <c r="V133" cm="1">
        <f t="array" ref="V133">SUMPRODUCT((H133:H381*1.15)*(I133:I381*0.95))</f>
        <v>119996.190525</v>
      </c>
      <c r="W133">
        <f>MONTH(Table1[[#This Row],[Date]])</f>
        <v>10</v>
      </c>
    </row>
    <row r="134" spans="1:23" ht="15.75" customHeight="1" x14ac:dyDescent="0.3">
      <c r="A134" s="4" t="s">
        <v>275</v>
      </c>
      <c r="B134" s="5">
        <v>45588</v>
      </c>
      <c r="C134" s="4" t="s">
        <v>40</v>
      </c>
      <c r="D134" s="4" t="s">
        <v>41</v>
      </c>
      <c r="E134" s="4" t="s">
        <v>54</v>
      </c>
      <c r="F134" s="4" t="s">
        <v>55</v>
      </c>
      <c r="G134" s="4" t="s">
        <v>21</v>
      </c>
      <c r="H134" s="4">
        <v>2</v>
      </c>
      <c r="I134" s="4">
        <v>149.99</v>
      </c>
      <c r="J134" s="4" t="s">
        <v>36</v>
      </c>
      <c r="K134" s="4" t="s">
        <v>23</v>
      </c>
      <c r="L134" s="4" t="s">
        <v>24</v>
      </c>
      <c r="M134" s="5">
        <v>44473</v>
      </c>
      <c r="N134" s="4">
        <v>299.98</v>
      </c>
      <c r="O134" s="7">
        <f t="shared" ca="1" si="10"/>
        <v>46084.816637962962</v>
      </c>
      <c r="P134" s="8">
        <f t="shared" ca="1" si="11"/>
        <v>46084.816637962962</v>
      </c>
      <c r="Q134">
        <f t="shared" si="12"/>
        <v>109566.36</v>
      </c>
      <c r="R134">
        <f t="shared" si="13"/>
        <v>2.4</v>
      </c>
      <c r="S134">
        <f t="shared" si="14"/>
        <v>359.976</v>
      </c>
      <c r="T134" cm="1">
        <f t="array" ref="T134">SUMPRODUCT(H134:H382*1.2, I134:I382)</f>
        <v>131479.63199999995</v>
      </c>
      <c r="U134" cm="1">
        <f t="array" ref="U134">SUMPRODUCT(H134:H382, I134:I382*0.9)</f>
        <v>98609.724000000089</v>
      </c>
      <c r="V134" cm="1">
        <f t="array" ref="V134">SUMPRODUCT((H134:H382*1.15)*(I134:I382*0.95))</f>
        <v>119701.24830000001</v>
      </c>
      <c r="W134">
        <f>MONTH(Table1[[#This Row],[Date]])</f>
        <v>10</v>
      </c>
    </row>
    <row r="135" spans="1:23" ht="15.75" customHeight="1" x14ac:dyDescent="0.3">
      <c r="A135" s="4" t="s">
        <v>276</v>
      </c>
      <c r="B135" s="5">
        <v>45588</v>
      </c>
      <c r="C135" s="4" t="s">
        <v>156</v>
      </c>
      <c r="D135" s="4" t="s">
        <v>157</v>
      </c>
      <c r="E135" s="4" t="s">
        <v>82</v>
      </c>
      <c r="F135" s="4" t="s">
        <v>83</v>
      </c>
      <c r="G135" s="4" t="s">
        <v>21</v>
      </c>
      <c r="H135" s="4">
        <v>2</v>
      </c>
      <c r="I135" s="4">
        <v>699.99</v>
      </c>
      <c r="J135" s="4" t="s">
        <v>22</v>
      </c>
      <c r="K135" s="4" t="s">
        <v>23</v>
      </c>
      <c r="L135" s="4" t="s">
        <v>24</v>
      </c>
      <c r="M135" s="5">
        <v>44992</v>
      </c>
      <c r="N135" s="4">
        <v>1399.98</v>
      </c>
      <c r="O135" s="7">
        <f t="shared" ca="1" si="10"/>
        <v>46084.816637962962</v>
      </c>
      <c r="P135" s="8">
        <f t="shared" ca="1" si="11"/>
        <v>46084.816637962962</v>
      </c>
      <c r="Q135">
        <f t="shared" si="12"/>
        <v>109266.37999999999</v>
      </c>
      <c r="R135">
        <f t="shared" si="13"/>
        <v>2.4</v>
      </c>
      <c r="S135">
        <f t="shared" si="14"/>
        <v>1679.9759999999999</v>
      </c>
      <c r="T135" cm="1">
        <f t="array" ref="T135">SUMPRODUCT(H135:H383*1.2, I135:I383)</f>
        <v>131119.65599999996</v>
      </c>
      <c r="U135" cm="1">
        <f t="array" ref="U135">SUMPRODUCT(H135:H383, I135:I383*0.9)</f>
        <v>98339.742000000086</v>
      </c>
      <c r="V135" cm="1">
        <f t="array" ref="V135">SUMPRODUCT((H135:H383*1.15)*(I135:I383*0.95))</f>
        <v>119373.52015</v>
      </c>
      <c r="W135">
        <f>MONTH(Table1[[#This Row],[Date]])</f>
        <v>10</v>
      </c>
    </row>
    <row r="136" spans="1:23" ht="15.75" customHeight="1" x14ac:dyDescent="0.3">
      <c r="A136" s="4" t="s">
        <v>277</v>
      </c>
      <c r="B136" s="5">
        <v>45589</v>
      </c>
      <c r="C136" s="4" t="s">
        <v>160</v>
      </c>
      <c r="D136" s="4" t="s">
        <v>161</v>
      </c>
      <c r="E136" s="4" t="s">
        <v>82</v>
      </c>
      <c r="F136" s="4" t="s">
        <v>83</v>
      </c>
      <c r="G136" s="4" t="s">
        <v>21</v>
      </c>
      <c r="H136" s="4">
        <v>5</v>
      </c>
      <c r="I136" s="4">
        <v>699.99</v>
      </c>
      <c r="J136" s="4" t="s">
        <v>22</v>
      </c>
      <c r="K136" s="4" t="s">
        <v>42</v>
      </c>
      <c r="L136" s="4" t="s">
        <v>29</v>
      </c>
      <c r="M136" s="5">
        <v>44635</v>
      </c>
      <c r="N136" s="4">
        <v>3499.95</v>
      </c>
      <c r="O136" s="7">
        <f t="shared" ca="1" si="10"/>
        <v>46084.816637962962</v>
      </c>
      <c r="P136" s="8">
        <f t="shared" ca="1" si="11"/>
        <v>46084.816637962962</v>
      </c>
      <c r="Q136">
        <f t="shared" si="12"/>
        <v>107866.4</v>
      </c>
      <c r="R136">
        <f t="shared" si="13"/>
        <v>6</v>
      </c>
      <c r="S136">
        <f t="shared" si="14"/>
        <v>4199.9400000000005</v>
      </c>
      <c r="T136" cm="1">
        <f t="array" ref="T136">SUMPRODUCT(H136:H384*1.2, I136:I384)</f>
        <v>129439.67999999996</v>
      </c>
      <c r="U136" cm="1">
        <f t="array" ref="U136">SUMPRODUCT(H136:H384, I136:I384*0.9)</f>
        <v>97079.760000000082</v>
      </c>
      <c r="V136" cm="1">
        <f t="array" ref="V136">SUMPRODUCT((H136:H384*1.15)*(I136:I384*0.95))</f>
        <v>117844.04199999999</v>
      </c>
      <c r="W136">
        <f>MONTH(Table1[[#This Row],[Date]])</f>
        <v>10</v>
      </c>
    </row>
    <row r="137" spans="1:23" ht="15.75" customHeight="1" x14ac:dyDescent="0.3">
      <c r="A137" s="4" t="s">
        <v>278</v>
      </c>
      <c r="B137" s="5">
        <v>45592</v>
      </c>
      <c r="C137" s="4" t="s">
        <v>173</v>
      </c>
      <c r="D137" s="4" t="s">
        <v>174</v>
      </c>
      <c r="E137" s="4" t="s">
        <v>119</v>
      </c>
      <c r="F137" s="4" t="s">
        <v>120</v>
      </c>
      <c r="G137" s="4" t="s">
        <v>21</v>
      </c>
      <c r="H137" s="4">
        <v>3</v>
      </c>
      <c r="I137" s="4">
        <v>89.99</v>
      </c>
      <c r="J137" s="4" t="s">
        <v>28</v>
      </c>
      <c r="K137" s="4" t="s">
        <v>42</v>
      </c>
      <c r="L137" s="4" t="s">
        <v>38</v>
      </c>
      <c r="M137" s="5">
        <v>44615</v>
      </c>
      <c r="N137" s="4">
        <v>269.97000000000003</v>
      </c>
      <c r="O137" s="7">
        <f t="shared" ca="1" si="10"/>
        <v>46084.816637962962</v>
      </c>
      <c r="P137" s="8">
        <f t="shared" ca="1" si="11"/>
        <v>46084.816637962962</v>
      </c>
      <c r="Q137">
        <f t="shared" si="12"/>
        <v>104366.45</v>
      </c>
      <c r="R137">
        <f t="shared" si="13"/>
        <v>3.5999999999999996</v>
      </c>
      <c r="S137">
        <f t="shared" si="14"/>
        <v>323.96399999999994</v>
      </c>
      <c r="T137" cm="1">
        <f t="array" ref="T137">SUMPRODUCT(H137:H385*1.2, I137:I385)</f>
        <v>125239.73999999996</v>
      </c>
      <c r="U137" cm="1">
        <f t="array" ref="U137">SUMPRODUCT(H137:H385, I137:I385*0.9)</f>
        <v>93929.805000000066</v>
      </c>
      <c r="V137" cm="1">
        <f t="array" ref="V137">SUMPRODUCT((H137:H385*1.15)*(I137:I385*0.95))</f>
        <v>114020.34662499999</v>
      </c>
      <c r="W137">
        <f>MONTH(Table1[[#This Row],[Date]])</f>
        <v>10</v>
      </c>
    </row>
    <row r="138" spans="1:23" ht="15.75" customHeight="1" x14ac:dyDescent="0.3">
      <c r="A138" s="4" t="s">
        <v>279</v>
      </c>
      <c r="B138" s="5">
        <v>45597</v>
      </c>
      <c r="C138" s="4" t="s">
        <v>17</v>
      </c>
      <c r="D138" s="4" t="s">
        <v>18</v>
      </c>
      <c r="E138" s="4" t="s">
        <v>19</v>
      </c>
      <c r="F138" s="4" t="s">
        <v>20</v>
      </c>
      <c r="G138" s="4" t="s">
        <v>21</v>
      </c>
      <c r="H138" s="4">
        <v>5</v>
      </c>
      <c r="I138" s="4">
        <v>249.99</v>
      </c>
      <c r="J138" s="4" t="s">
        <v>28</v>
      </c>
      <c r="K138" s="4" t="s">
        <v>37</v>
      </c>
      <c r="L138" s="4" t="s">
        <v>38</v>
      </c>
      <c r="M138" s="5">
        <v>44881</v>
      </c>
      <c r="N138" s="4">
        <v>1249.95</v>
      </c>
      <c r="O138" s="7">
        <f t="shared" ca="1" si="10"/>
        <v>46084.816637962962</v>
      </c>
      <c r="P138" s="8">
        <f t="shared" ca="1" si="11"/>
        <v>46084.816637962962</v>
      </c>
      <c r="Q138">
        <f t="shared" si="12"/>
        <v>104096.48</v>
      </c>
      <c r="R138">
        <f t="shared" si="13"/>
        <v>6</v>
      </c>
      <c r="S138">
        <f t="shared" si="14"/>
        <v>1499.94</v>
      </c>
      <c r="T138" cm="1">
        <f t="array" ref="T138">SUMPRODUCT(H138:H386*1.2, I138:I386)</f>
        <v>124915.77599999995</v>
      </c>
      <c r="U138" cm="1">
        <f t="array" ref="U138">SUMPRODUCT(H138:H386, I138:I386*0.9)</f>
        <v>93686.832000000068</v>
      </c>
      <c r="V138" cm="1">
        <f t="array" ref="V138">SUMPRODUCT((H138:H386*1.15)*(I138:I386*0.95))</f>
        <v>113725.4044</v>
      </c>
      <c r="W138">
        <f>MONTH(Table1[[#This Row],[Date]])</f>
        <v>11</v>
      </c>
    </row>
    <row r="139" spans="1:23" ht="15.75" customHeight="1" x14ac:dyDescent="0.3">
      <c r="A139" s="4" t="s">
        <v>280</v>
      </c>
      <c r="B139" s="5">
        <v>45600</v>
      </c>
      <c r="C139" s="4" t="s">
        <v>67</v>
      </c>
      <c r="D139" s="4" t="s">
        <v>68</v>
      </c>
      <c r="E139" s="4" t="s">
        <v>107</v>
      </c>
      <c r="F139" s="4" t="s">
        <v>108</v>
      </c>
      <c r="G139" s="4" t="s">
        <v>48</v>
      </c>
      <c r="H139" s="4">
        <v>3</v>
      </c>
      <c r="I139" s="4">
        <v>299.99</v>
      </c>
      <c r="J139" s="4" t="s">
        <v>28</v>
      </c>
      <c r="K139" s="4" t="s">
        <v>37</v>
      </c>
      <c r="L139" s="4" t="s">
        <v>38</v>
      </c>
      <c r="M139" s="5">
        <v>44502</v>
      </c>
      <c r="N139" s="4">
        <v>899.97</v>
      </c>
      <c r="O139" s="7">
        <f t="shared" ca="1" si="10"/>
        <v>46084.816637962962</v>
      </c>
      <c r="P139" s="8">
        <f t="shared" ca="1" si="11"/>
        <v>46084.816637962962</v>
      </c>
      <c r="Q139">
        <f t="shared" si="12"/>
        <v>102846.53</v>
      </c>
      <c r="R139">
        <f t="shared" si="13"/>
        <v>3.5999999999999996</v>
      </c>
      <c r="S139">
        <f t="shared" si="14"/>
        <v>1079.9639999999999</v>
      </c>
      <c r="T139" cm="1">
        <f t="array" ref="T139">SUMPRODUCT(H139:H387*1.2, I139:I387)</f>
        <v>123415.83599999995</v>
      </c>
      <c r="U139" cm="1">
        <f t="array" ref="U139">SUMPRODUCT(H139:H387, I139:I387*0.9)</f>
        <v>92561.877000000066</v>
      </c>
      <c r="V139" cm="1">
        <f t="array" ref="V139">SUMPRODUCT((H139:H387*1.15)*(I139:I387*0.95))</f>
        <v>112359.83402499997</v>
      </c>
      <c r="W139">
        <f>MONTH(Table1[[#This Row],[Date]])</f>
        <v>11</v>
      </c>
    </row>
    <row r="140" spans="1:23" ht="15.75" customHeight="1" x14ac:dyDescent="0.3">
      <c r="A140" s="4" t="s">
        <v>281</v>
      </c>
      <c r="B140" s="5">
        <v>45603</v>
      </c>
      <c r="C140" s="4" t="s">
        <v>101</v>
      </c>
      <c r="D140" s="4" t="s">
        <v>102</v>
      </c>
      <c r="E140" s="4" t="s">
        <v>119</v>
      </c>
      <c r="F140" s="4" t="s">
        <v>120</v>
      </c>
      <c r="G140" s="4" t="s">
        <v>21</v>
      </c>
      <c r="H140" s="4">
        <v>3</v>
      </c>
      <c r="I140" s="4">
        <v>89.99</v>
      </c>
      <c r="J140" s="4" t="s">
        <v>28</v>
      </c>
      <c r="K140" s="4" t="s">
        <v>42</v>
      </c>
      <c r="L140" s="4" t="s">
        <v>29</v>
      </c>
      <c r="M140" s="5">
        <v>44420</v>
      </c>
      <c r="N140" s="4">
        <v>269.97000000000003</v>
      </c>
      <c r="O140" s="7">
        <f t="shared" ca="1" si="10"/>
        <v>46084.816637962962</v>
      </c>
      <c r="P140" s="8">
        <f t="shared" ca="1" si="11"/>
        <v>46084.816637962962</v>
      </c>
      <c r="Q140">
        <f t="shared" si="12"/>
        <v>101946.56</v>
      </c>
      <c r="R140">
        <f t="shared" si="13"/>
        <v>3.5999999999999996</v>
      </c>
      <c r="S140">
        <f t="shared" si="14"/>
        <v>323.96399999999994</v>
      </c>
      <c r="T140" cm="1">
        <f t="array" ref="T140">SUMPRODUCT(H140:H388*1.2, I140:I388)</f>
        <v>122335.87199999997</v>
      </c>
      <c r="U140" cm="1">
        <f t="array" ref="U140">SUMPRODUCT(H140:H388, I140:I388*0.9)</f>
        <v>91751.904000000082</v>
      </c>
      <c r="V140" cm="1">
        <f t="array" ref="V140">SUMPRODUCT((H140:H388*1.15)*(I140:I388*0.95))</f>
        <v>111376.61679999997</v>
      </c>
      <c r="W140">
        <f>MONTH(Table1[[#This Row],[Date]])</f>
        <v>11</v>
      </c>
    </row>
    <row r="141" spans="1:23" ht="15.75" customHeight="1" x14ac:dyDescent="0.3">
      <c r="A141" s="4" t="s">
        <v>282</v>
      </c>
      <c r="B141" s="5">
        <v>45604</v>
      </c>
      <c r="C141" s="4" t="s">
        <v>91</v>
      </c>
      <c r="D141" s="4" t="s">
        <v>92</v>
      </c>
      <c r="E141" s="4" t="s">
        <v>46</v>
      </c>
      <c r="F141" s="4" t="s">
        <v>47</v>
      </c>
      <c r="G141" s="4" t="s">
        <v>48</v>
      </c>
      <c r="H141" s="4">
        <v>2</v>
      </c>
      <c r="I141" s="4">
        <v>149.99</v>
      </c>
      <c r="J141" s="4" t="s">
        <v>28</v>
      </c>
      <c r="K141" s="4" t="s">
        <v>52</v>
      </c>
      <c r="L141" s="4" t="s">
        <v>29</v>
      </c>
      <c r="M141" s="5">
        <v>44848</v>
      </c>
      <c r="N141" s="4">
        <v>299.98</v>
      </c>
      <c r="O141" s="7">
        <f t="shared" ca="1" si="10"/>
        <v>46084.816637962962</v>
      </c>
      <c r="P141" s="8">
        <f t="shared" ca="1" si="11"/>
        <v>46084.816637962962</v>
      </c>
      <c r="Q141">
        <f t="shared" si="12"/>
        <v>101676.59000000001</v>
      </c>
      <c r="R141">
        <f t="shared" si="13"/>
        <v>2.4</v>
      </c>
      <c r="S141">
        <f t="shared" si="14"/>
        <v>359.976</v>
      </c>
      <c r="T141" cm="1">
        <f t="array" ref="T141">SUMPRODUCT(H141:H389*1.2, I141:I389)</f>
        <v>122011.90799999997</v>
      </c>
      <c r="U141" cm="1">
        <f t="array" ref="U141">SUMPRODUCT(H141:H389, I141:I389*0.9)</f>
        <v>91508.931000000084</v>
      </c>
      <c r="V141" cm="1">
        <f t="array" ref="V141">SUMPRODUCT((H141:H389*1.15)*(I141:I389*0.95))</f>
        <v>111081.67457499998</v>
      </c>
      <c r="W141">
        <f>MONTH(Table1[[#This Row],[Date]])</f>
        <v>11</v>
      </c>
    </row>
    <row r="142" spans="1:23" ht="15.75" customHeight="1" x14ac:dyDescent="0.3">
      <c r="A142" s="4" t="s">
        <v>283</v>
      </c>
      <c r="B142" s="5">
        <v>45605</v>
      </c>
      <c r="C142" s="4" t="s">
        <v>187</v>
      </c>
      <c r="D142" s="4" t="s">
        <v>188</v>
      </c>
      <c r="E142" s="4" t="s">
        <v>19</v>
      </c>
      <c r="F142" s="4" t="s">
        <v>20</v>
      </c>
      <c r="G142" s="4" t="s">
        <v>21</v>
      </c>
      <c r="H142" s="4">
        <v>1</v>
      </c>
      <c r="I142" s="4">
        <v>249.99</v>
      </c>
      <c r="J142" s="4" t="s">
        <v>28</v>
      </c>
      <c r="K142" s="4" t="s">
        <v>42</v>
      </c>
      <c r="L142" s="4" t="s">
        <v>29</v>
      </c>
      <c r="M142" s="5">
        <v>44828</v>
      </c>
      <c r="N142" s="4">
        <v>249.99</v>
      </c>
      <c r="O142" s="7">
        <f t="shared" ca="1" si="10"/>
        <v>46084.816637962962</v>
      </c>
      <c r="P142" s="8">
        <f t="shared" ca="1" si="11"/>
        <v>46084.816637962962</v>
      </c>
      <c r="Q142">
        <f t="shared" si="12"/>
        <v>101376.61</v>
      </c>
      <c r="R142">
        <f t="shared" si="13"/>
        <v>1.2</v>
      </c>
      <c r="S142">
        <f t="shared" si="14"/>
        <v>299.988</v>
      </c>
      <c r="T142" cm="1">
        <f t="array" ref="T142">SUMPRODUCT(H142:H390*1.2, I142:I390)</f>
        <v>121651.93199999997</v>
      </c>
      <c r="U142" cm="1">
        <f t="array" ref="U142">SUMPRODUCT(H142:H390, I142:I390*0.9)</f>
        <v>91238.949000000066</v>
      </c>
      <c r="V142" cm="1">
        <f t="array" ref="V142">SUMPRODUCT((H142:H390*1.15)*(I142:I390*0.95))</f>
        <v>110753.94642499997</v>
      </c>
      <c r="W142">
        <f>MONTH(Table1[[#This Row],[Date]])</f>
        <v>11</v>
      </c>
    </row>
    <row r="143" spans="1:23" ht="15.75" customHeight="1" x14ac:dyDescent="0.3">
      <c r="A143" s="4" t="s">
        <v>284</v>
      </c>
      <c r="B143" s="5">
        <v>45607</v>
      </c>
      <c r="C143" s="4" t="s">
        <v>74</v>
      </c>
      <c r="D143" s="4" t="s">
        <v>75</v>
      </c>
      <c r="E143" s="4" t="s">
        <v>54</v>
      </c>
      <c r="F143" s="4" t="s">
        <v>55</v>
      </c>
      <c r="G143" s="4" t="s">
        <v>21</v>
      </c>
      <c r="H143" s="4">
        <v>3</v>
      </c>
      <c r="I143" s="4">
        <v>149.99</v>
      </c>
      <c r="J143" s="4" t="s">
        <v>22</v>
      </c>
      <c r="K143" s="4" t="s">
        <v>42</v>
      </c>
      <c r="L143" s="4" t="s">
        <v>24</v>
      </c>
      <c r="M143" s="5">
        <v>44769</v>
      </c>
      <c r="N143" s="4">
        <v>449.97</v>
      </c>
      <c r="O143" s="7">
        <f t="shared" ca="1" si="10"/>
        <v>46084.816637962962</v>
      </c>
      <c r="P143" s="8">
        <f t="shared" ca="1" si="11"/>
        <v>46084.816637962962</v>
      </c>
      <c r="Q143">
        <f t="shared" si="12"/>
        <v>101126.62</v>
      </c>
      <c r="R143">
        <f t="shared" si="13"/>
        <v>3.5999999999999996</v>
      </c>
      <c r="S143">
        <f t="shared" si="14"/>
        <v>539.96399999999994</v>
      </c>
      <c r="T143" cm="1">
        <f t="array" ref="T143">SUMPRODUCT(H143:H391*1.2, I143:I391)</f>
        <v>121351.94399999996</v>
      </c>
      <c r="U143" cm="1">
        <f t="array" ref="U143">SUMPRODUCT(H143:H391, I143:I391*0.9)</f>
        <v>91013.958000000071</v>
      </c>
      <c r="V143" cm="1">
        <f t="array" ref="V143">SUMPRODUCT((H143:H391*1.15)*(I143:I391*0.95))</f>
        <v>110480.83234999998</v>
      </c>
      <c r="W143">
        <f>MONTH(Table1[[#This Row],[Date]])</f>
        <v>11</v>
      </c>
    </row>
    <row r="144" spans="1:23" ht="15.75" customHeight="1" x14ac:dyDescent="0.3">
      <c r="A144" s="4" t="s">
        <v>285</v>
      </c>
      <c r="B144" s="5">
        <v>45607</v>
      </c>
      <c r="C144" s="4" t="s">
        <v>17</v>
      </c>
      <c r="D144" s="4" t="s">
        <v>18</v>
      </c>
      <c r="E144" s="4" t="s">
        <v>33</v>
      </c>
      <c r="F144" s="4" t="s">
        <v>34</v>
      </c>
      <c r="G144" s="4" t="s">
        <v>35</v>
      </c>
      <c r="H144" s="4">
        <v>5</v>
      </c>
      <c r="I144" s="4">
        <v>59.99</v>
      </c>
      <c r="J144" s="4" t="s">
        <v>36</v>
      </c>
      <c r="K144" s="4" t="s">
        <v>52</v>
      </c>
      <c r="L144" s="4" t="s">
        <v>29</v>
      </c>
      <c r="M144" s="5">
        <v>44694</v>
      </c>
      <c r="N144" s="4">
        <v>299.95</v>
      </c>
      <c r="O144" s="7">
        <f t="shared" ca="1" si="10"/>
        <v>46084.816637962962</v>
      </c>
      <c r="P144" s="8">
        <f t="shared" ca="1" si="11"/>
        <v>46084.816637962962</v>
      </c>
      <c r="Q144">
        <f t="shared" si="12"/>
        <v>100676.65</v>
      </c>
      <c r="R144">
        <f t="shared" si="13"/>
        <v>6</v>
      </c>
      <c r="S144">
        <f t="shared" si="14"/>
        <v>359.94</v>
      </c>
      <c r="T144" cm="1">
        <f t="array" ref="T144">SUMPRODUCT(H144:H392*1.2, I144:I392)</f>
        <v>120811.97999999995</v>
      </c>
      <c r="U144" cm="1">
        <f t="array" ref="U144">SUMPRODUCT(H144:H392, I144:I392*0.9)</f>
        <v>90608.985000000073</v>
      </c>
      <c r="V144" cm="1">
        <f t="array" ref="V144">SUMPRODUCT((H144:H392*1.15)*(I144:I392*0.95))</f>
        <v>109989.24012499998</v>
      </c>
      <c r="W144">
        <f>MONTH(Table1[[#This Row],[Date]])</f>
        <v>11</v>
      </c>
    </row>
    <row r="145" spans="1:23" ht="15.75" customHeight="1" x14ac:dyDescent="0.3">
      <c r="A145" s="4" t="s">
        <v>286</v>
      </c>
      <c r="B145" s="5">
        <v>45607</v>
      </c>
      <c r="C145" s="4" t="s">
        <v>101</v>
      </c>
      <c r="D145" s="4" t="s">
        <v>102</v>
      </c>
      <c r="E145" s="4" t="s">
        <v>19</v>
      </c>
      <c r="F145" s="4" t="s">
        <v>20</v>
      </c>
      <c r="G145" s="4" t="s">
        <v>21</v>
      </c>
      <c r="H145" s="4">
        <v>4</v>
      </c>
      <c r="I145" s="4">
        <v>249.99</v>
      </c>
      <c r="J145" s="4" t="s">
        <v>28</v>
      </c>
      <c r="K145" s="4" t="s">
        <v>52</v>
      </c>
      <c r="L145" s="4" t="s">
        <v>38</v>
      </c>
      <c r="M145" s="5">
        <v>44659</v>
      </c>
      <c r="N145" s="4">
        <v>999.96</v>
      </c>
      <c r="O145" s="7">
        <f t="shared" ca="1" si="10"/>
        <v>46084.816637962962</v>
      </c>
      <c r="P145" s="8">
        <f t="shared" ca="1" si="11"/>
        <v>46084.816637962962</v>
      </c>
      <c r="Q145">
        <f t="shared" si="12"/>
        <v>100376.7</v>
      </c>
      <c r="R145">
        <f t="shared" si="13"/>
        <v>4.8</v>
      </c>
      <c r="S145">
        <f t="shared" si="14"/>
        <v>1199.952</v>
      </c>
      <c r="T145" cm="1">
        <f t="array" ref="T145">SUMPRODUCT(H145:H393*1.2, I145:I393)</f>
        <v>120452.03999999995</v>
      </c>
      <c r="U145" cm="1">
        <f t="array" ref="U145">SUMPRODUCT(H145:H393, I145:I393*0.9)</f>
        <v>90339.030000000072</v>
      </c>
      <c r="V145" cm="1">
        <f t="array" ref="V145">SUMPRODUCT((H145:H393*1.15)*(I145:I393*0.95))</f>
        <v>109661.54474999997</v>
      </c>
      <c r="W145">
        <f>MONTH(Table1[[#This Row],[Date]])</f>
        <v>11</v>
      </c>
    </row>
    <row r="146" spans="1:23" ht="15.75" customHeight="1" x14ac:dyDescent="0.3">
      <c r="A146" s="4" t="s">
        <v>287</v>
      </c>
      <c r="B146" s="5">
        <v>45608</v>
      </c>
      <c r="C146" s="4" t="s">
        <v>156</v>
      </c>
      <c r="D146" s="4" t="s">
        <v>157</v>
      </c>
      <c r="E146" s="4" t="s">
        <v>46</v>
      </c>
      <c r="F146" s="4" t="s">
        <v>47</v>
      </c>
      <c r="G146" s="4" t="s">
        <v>48</v>
      </c>
      <c r="H146" s="4">
        <v>5</v>
      </c>
      <c r="I146" s="4">
        <v>149.99</v>
      </c>
      <c r="J146" s="4" t="s">
        <v>36</v>
      </c>
      <c r="K146" s="4" t="s">
        <v>23</v>
      </c>
      <c r="L146" s="4" t="s">
        <v>24</v>
      </c>
      <c r="M146" s="5">
        <v>44901</v>
      </c>
      <c r="N146" s="4">
        <v>749.95</v>
      </c>
      <c r="O146" s="7">
        <f t="shared" ca="1" si="10"/>
        <v>46084.816637962962</v>
      </c>
      <c r="P146" s="8">
        <f t="shared" ca="1" si="11"/>
        <v>46084.816637962962</v>
      </c>
      <c r="Q146">
        <f t="shared" si="12"/>
        <v>99376.74</v>
      </c>
      <c r="R146">
        <f t="shared" si="13"/>
        <v>6</v>
      </c>
      <c r="S146">
        <f t="shared" si="14"/>
        <v>899.94</v>
      </c>
      <c r="T146" cm="1">
        <f t="array" ref="T146">SUMPRODUCT(H146:H394*1.2, I146:I394)</f>
        <v>119252.08799999996</v>
      </c>
      <c r="U146" cm="1">
        <f t="array" ref="U146">SUMPRODUCT(H146:H394, I146:I394*0.9)</f>
        <v>89439.066000000064</v>
      </c>
      <c r="V146" cm="1">
        <f t="array" ref="V146">SUMPRODUCT((H146:H394*1.15)*(I146:I394*0.95))</f>
        <v>108569.08844999998</v>
      </c>
      <c r="W146">
        <f>MONTH(Table1[[#This Row],[Date]])</f>
        <v>11</v>
      </c>
    </row>
    <row r="147" spans="1:23" ht="15.75" customHeight="1" x14ac:dyDescent="0.3">
      <c r="A147" s="4" t="s">
        <v>288</v>
      </c>
      <c r="B147" s="5">
        <v>45608</v>
      </c>
      <c r="C147" s="4" t="s">
        <v>85</v>
      </c>
      <c r="D147" s="4" t="s">
        <v>86</v>
      </c>
      <c r="E147" s="4" t="s">
        <v>33</v>
      </c>
      <c r="F147" s="4" t="s">
        <v>34</v>
      </c>
      <c r="G147" s="4" t="s">
        <v>35</v>
      </c>
      <c r="H147" s="4">
        <v>3</v>
      </c>
      <c r="I147" s="4">
        <v>59.99</v>
      </c>
      <c r="J147" s="4" t="s">
        <v>59</v>
      </c>
      <c r="K147" s="4" t="s">
        <v>37</v>
      </c>
      <c r="L147" s="4" t="s">
        <v>38</v>
      </c>
      <c r="M147" s="5">
        <v>45260</v>
      </c>
      <c r="N147" s="4">
        <v>179.97</v>
      </c>
      <c r="O147" s="7">
        <f t="shared" ca="1" si="10"/>
        <v>46084.816637962962</v>
      </c>
      <c r="P147" s="8">
        <f t="shared" ca="1" si="11"/>
        <v>46084.816637962962</v>
      </c>
      <c r="Q147">
        <f t="shared" si="12"/>
        <v>98626.79</v>
      </c>
      <c r="R147">
        <f t="shared" si="13"/>
        <v>3.5999999999999996</v>
      </c>
      <c r="S147">
        <f t="shared" si="14"/>
        <v>215.964</v>
      </c>
      <c r="T147" cm="1">
        <f t="array" ref="T147">SUMPRODUCT(H147:H395*1.2, I147:I395)</f>
        <v>118352.14799999996</v>
      </c>
      <c r="U147" cm="1">
        <f t="array" ref="U147">SUMPRODUCT(H147:H395, I147:I395*0.9)</f>
        <v>88764.111000000063</v>
      </c>
      <c r="V147" cm="1">
        <f t="array" ref="V147">SUMPRODUCT((H147:H395*1.15)*(I147:I395*0.95))</f>
        <v>107749.768075</v>
      </c>
      <c r="W147">
        <f>MONTH(Table1[[#This Row],[Date]])</f>
        <v>11</v>
      </c>
    </row>
    <row r="148" spans="1:23" ht="15.75" customHeight="1" x14ac:dyDescent="0.3">
      <c r="A148" s="4" t="s">
        <v>289</v>
      </c>
      <c r="B148" s="5">
        <v>45613</v>
      </c>
      <c r="C148" s="4" t="s">
        <v>236</v>
      </c>
      <c r="D148" s="4" t="s">
        <v>237</v>
      </c>
      <c r="E148" s="4" t="s">
        <v>46</v>
      </c>
      <c r="F148" s="4" t="s">
        <v>47</v>
      </c>
      <c r="G148" s="4" t="s">
        <v>48</v>
      </c>
      <c r="H148" s="4">
        <v>5</v>
      </c>
      <c r="I148" s="4">
        <v>149.99</v>
      </c>
      <c r="J148" s="4" t="s">
        <v>22</v>
      </c>
      <c r="K148" s="4" t="s">
        <v>42</v>
      </c>
      <c r="L148" s="4" t="s">
        <v>24</v>
      </c>
      <c r="M148" s="5">
        <v>44869</v>
      </c>
      <c r="N148" s="4">
        <v>749.95</v>
      </c>
      <c r="O148" s="7">
        <f t="shared" ca="1" si="10"/>
        <v>46084.816637962962</v>
      </c>
      <c r="P148" s="8">
        <f t="shared" ca="1" si="11"/>
        <v>46084.816637962962</v>
      </c>
      <c r="Q148">
        <f t="shared" si="12"/>
        <v>98446.82</v>
      </c>
      <c r="R148">
        <f t="shared" si="13"/>
        <v>6</v>
      </c>
      <c r="S148">
        <f t="shared" si="14"/>
        <v>899.94</v>
      </c>
      <c r="T148" cm="1">
        <f t="array" ref="T148">SUMPRODUCT(H148:H396*1.2, I148:I396)</f>
        <v>118136.18399999995</v>
      </c>
      <c r="U148" cm="1">
        <f t="array" ref="U148">SUMPRODUCT(H148:H396, I148:I396*0.9)</f>
        <v>88602.138000000064</v>
      </c>
      <c r="V148" cm="1">
        <f t="array" ref="V148">SUMPRODUCT((H148:H396*1.15)*(I148:I396*0.95))</f>
        <v>107553.15084999999</v>
      </c>
      <c r="W148">
        <f>MONTH(Table1[[#This Row],[Date]])</f>
        <v>11</v>
      </c>
    </row>
    <row r="149" spans="1:23" ht="15.75" customHeight="1" x14ac:dyDescent="0.3">
      <c r="A149" s="4" t="s">
        <v>290</v>
      </c>
      <c r="B149" s="5">
        <v>45613</v>
      </c>
      <c r="C149" s="4" t="s">
        <v>88</v>
      </c>
      <c r="D149" s="4" t="s">
        <v>89</v>
      </c>
      <c r="E149" s="4" t="s">
        <v>82</v>
      </c>
      <c r="F149" s="4" t="s">
        <v>83</v>
      </c>
      <c r="G149" s="4" t="s">
        <v>21</v>
      </c>
      <c r="H149" s="4">
        <v>2</v>
      </c>
      <c r="I149" s="4">
        <v>699.99</v>
      </c>
      <c r="J149" s="4" t="s">
        <v>36</v>
      </c>
      <c r="K149" s="4" t="s">
        <v>52</v>
      </c>
      <c r="L149" s="4" t="s">
        <v>38</v>
      </c>
      <c r="M149" s="5">
        <v>44770</v>
      </c>
      <c r="N149" s="4">
        <v>1399.98</v>
      </c>
      <c r="O149" s="7">
        <f t="shared" ca="1" si="10"/>
        <v>46084.816637962962</v>
      </c>
      <c r="P149" s="8">
        <f t="shared" ca="1" si="11"/>
        <v>46084.816637962962</v>
      </c>
      <c r="Q149">
        <f t="shared" si="12"/>
        <v>97696.87</v>
      </c>
      <c r="R149">
        <f t="shared" si="13"/>
        <v>2.4</v>
      </c>
      <c r="S149">
        <f t="shared" si="14"/>
        <v>1679.9759999999999</v>
      </c>
      <c r="T149" cm="1">
        <f t="array" ref="T149">SUMPRODUCT(H149:H397*1.2, I149:I397)</f>
        <v>117236.24399999995</v>
      </c>
      <c r="U149" cm="1">
        <f t="array" ref="U149">SUMPRODUCT(H149:H397, I149:I397*0.9)</f>
        <v>87927.183000000063</v>
      </c>
      <c r="V149" cm="1">
        <f t="array" ref="V149">SUMPRODUCT((H149:H397*1.15)*(I149:I397*0.95))</f>
        <v>106733.830475</v>
      </c>
      <c r="W149">
        <f>MONTH(Table1[[#This Row],[Date]])</f>
        <v>11</v>
      </c>
    </row>
    <row r="150" spans="1:23" ht="15.75" customHeight="1" x14ac:dyDescent="0.3">
      <c r="A150" s="4" t="s">
        <v>291</v>
      </c>
      <c r="B150" s="5">
        <v>45617</v>
      </c>
      <c r="C150" s="4" t="s">
        <v>125</v>
      </c>
      <c r="D150" s="4" t="s">
        <v>126</v>
      </c>
      <c r="E150" s="4" t="s">
        <v>128</v>
      </c>
      <c r="F150" s="4" t="s">
        <v>129</v>
      </c>
      <c r="G150" s="4" t="s">
        <v>48</v>
      </c>
      <c r="H150" s="4">
        <v>4</v>
      </c>
      <c r="I150" s="4">
        <v>199.99</v>
      </c>
      <c r="J150" s="4" t="s">
        <v>59</v>
      </c>
      <c r="K150" s="4" t="s">
        <v>23</v>
      </c>
      <c r="L150" s="4" t="s">
        <v>29</v>
      </c>
      <c r="M150" s="5">
        <v>44427</v>
      </c>
      <c r="N150" s="4">
        <v>799.96</v>
      </c>
      <c r="O150" s="7">
        <f t="shared" ca="1" si="10"/>
        <v>46084.816637962962</v>
      </c>
      <c r="P150" s="8">
        <f t="shared" ca="1" si="11"/>
        <v>46084.816637962962</v>
      </c>
      <c r="Q150">
        <f t="shared" si="12"/>
        <v>96296.890000000014</v>
      </c>
      <c r="R150">
        <f t="shared" si="13"/>
        <v>4.8</v>
      </c>
      <c r="S150">
        <f t="shared" si="14"/>
        <v>959.952</v>
      </c>
      <c r="T150" cm="1">
        <f t="array" ref="T150">SUMPRODUCT(H150:H398*1.2, I150:I398)</f>
        <v>115556.26799999995</v>
      </c>
      <c r="U150" cm="1">
        <f t="array" ref="U150">SUMPRODUCT(H150:H398, I150:I398*0.9)</f>
        <v>86667.201000000059</v>
      </c>
      <c r="V150" cm="1">
        <f t="array" ref="V150">SUMPRODUCT((H150:H398*1.15)*(I150:I398*0.95))</f>
        <v>105204.35232499999</v>
      </c>
      <c r="W150">
        <f>MONTH(Table1[[#This Row],[Date]])</f>
        <v>11</v>
      </c>
    </row>
    <row r="151" spans="1:23" ht="15.75" customHeight="1" x14ac:dyDescent="0.3">
      <c r="A151" s="4" t="s">
        <v>292</v>
      </c>
      <c r="B151" s="5">
        <v>45619</v>
      </c>
      <c r="C151" s="4" t="s">
        <v>194</v>
      </c>
      <c r="D151" s="4" t="s">
        <v>195</v>
      </c>
      <c r="E151" s="4" t="s">
        <v>33</v>
      </c>
      <c r="F151" s="4" t="s">
        <v>34</v>
      </c>
      <c r="G151" s="4" t="s">
        <v>35</v>
      </c>
      <c r="H151" s="4">
        <v>1</v>
      </c>
      <c r="I151" s="4">
        <v>59.99</v>
      </c>
      <c r="J151" s="4" t="s">
        <v>59</v>
      </c>
      <c r="K151" s="4" t="s">
        <v>52</v>
      </c>
      <c r="L151" s="4" t="s">
        <v>38</v>
      </c>
      <c r="M151" s="5">
        <v>44560</v>
      </c>
      <c r="N151" s="4">
        <v>59.99</v>
      </c>
      <c r="O151" s="7">
        <f t="shared" ca="1" si="10"/>
        <v>46084.816637962962</v>
      </c>
      <c r="P151" s="8">
        <f t="shared" ca="1" si="11"/>
        <v>46084.816637962962</v>
      </c>
      <c r="Q151">
        <f t="shared" si="12"/>
        <v>95496.930000000008</v>
      </c>
      <c r="R151">
        <f t="shared" si="13"/>
        <v>1.2</v>
      </c>
      <c r="S151">
        <f t="shared" si="14"/>
        <v>71.988</v>
      </c>
      <c r="T151" cm="1">
        <f t="array" ref="T151">SUMPRODUCT(H151:H399*1.2, I151:I399)</f>
        <v>114596.31599999993</v>
      </c>
      <c r="U151" cm="1">
        <f t="array" ref="U151">SUMPRODUCT(H151:H399, I151:I399*0.9)</f>
        <v>85947.237000000066</v>
      </c>
      <c r="V151" cm="1">
        <f t="array" ref="V151">SUMPRODUCT((H151:H399*1.15)*(I151:I399*0.95))</f>
        <v>104330.39602499999</v>
      </c>
      <c r="W151">
        <f>MONTH(Table1[[#This Row],[Date]])</f>
        <v>11</v>
      </c>
    </row>
    <row r="152" spans="1:23" ht="15.75" customHeight="1" x14ac:dyDescent="0.3">
      <c r="A152" s="4" t="s">
        <v>293</v>
      </c>
      <c r="B152" s="5">
        <v>45619</v>
      </c>
      <c r="C152" s="4" t="s">
        <v>156</v>
      </c>
      <c r="D152" s="4" t="s">
        <v>157</v>
      </c>
      <c r="E152" s="4" t="s">
        <v>82</v>
      </c>
      <c r="F152" s="4" t="s">
        <v>83</v>
      </c>
      <c r="G152" s="4" t="s">
        <v>21</v>
      </c>
      <c r="H152" s="4">
        <v>3</v>
      </c>
      <c r="I152" s="4">
        <v>699.99</v>
      </c>
      <c r="J152" s="4" t="s">
        <v>36</v>
      </c>
      <c r="K152" s="4" t="s">
        <v>52</v>
      </c>
      <c r="L152" s="4" t="s">
        <v>38</v>
      </c>
      <c r="M152" s="5">
        <v>44583</v>
      </c>
      <c r="N152" s="4">
        <v>2099.9699999999998</v>
      </c>
      <c r="O152" s="7">
        <f t="shared" ca="1" si="10"/>
        <v>46084.816637962962</v>
      </c>
      <c r="P152" s="8">
        <f t="shared" ca="1" si="11"/>
        <v>46084.816637962962</v>
      </c>
      <c r="Q152">
        <f t="shared" si="12"/>
        <v>95436.94</v>
      </c>
      <c r="R152">
        <f t="shared" si="13"/>
        <v>3.5999999999999996</v>
      </c>
      <c r="S152">
        <f t="shared" si="14"/>
        <v>2519.9639999999999</v>
      </c>
      <c r="T152" cm="1">
        <f t="array" ref="T152">SUMPRODUCT(H152:H400*1.2, I152:I400)</f>
        <v>114524.32799999995</v>
      </c>
      <c r="U152" cm="1">
        <f t="array" ref="U152">SUMPRODUCT(H152:H400, I152:I400*0.9)</f>
        <v>85893.246000000072</v>
      </c>
      <c r="V152" cm="1">
        <f t="array" ref="V152">SUMPRODUCT((H152:H400*1.15)*(I152:I400*0.95))</f>
        <v>104264.85694999999</v>
      </c>
      <c r="W152">
        <f>MONTH(Table1[[#This Row],[Date]])</f>
        <v>11</v>
      </c>
    </row>
    <row r="153" spans="1:23" ht="15.75" customHeight="1" x14ac:dyDescent="0.3">
      <c r="A153" s="4" t="s">
        <v>294</v>
      </c>
      <c r="B153" s="5">
        <v>45622</v>
      </c>
      <c r="C153" s="4" t="s">
        <v>295</v>
      </c>
      <c r="D153" s="4" t="s">
        <v>296</v>
      </c>
      <c r="E153" s="4" t="s">
        <v>19</v>
      </c>
      <c r="F153" s="4" t="s">
        <v>20</v>
      </c>
      <c r="G153" s="4" t="s">
        <v>21</v>
      </c>
      <c r="H153" s="4">
        <v>5</v>
      </c>
      <c r="I153" s="4">
        <v>249.99</v>
      </c>
      <c r="J153" s="4" t="s">
        <v>28</v>
      </c>
      <c r="K153" s="4" t="s">
        <v>42</v>
      </c>
      <c r="L153" s="4" t="s">
        <v>24</v>
      </c>
      <c r="M153" s="5">
        <v>44873</v>
      </c>
      <c r="N153" s="4">
        <v>1249.95</v>
      </c>
      <c r="O153" s="7">
        <f t="shared" ca="1" si="10"/>
        <v>46084.816637962962</v>
      </c>
      <c r="P153" s="8">
        <f t="shared" ca="1" si="11"/>
        <v>46084.816637962962</v>
      </c>
      <c r="Q153">
        <f t="shared" si="12"/>
        <v>93336.969999999987</v>
      </c>
      <c r="R153">
        <f t="shared" si="13"/>
        <v>6</v>
      </c>
      <c r="S153">
        <f t="shared" si="14"/>
        <v>1499.94</v>
      </c>
      <c r="T153" cm="1">
        <f t="array" ref="T153">SUMPRODUCT(H153:H401*1.2, I153:I401)</f>
        <v>112004.36399999994</v>
      </c>
      <c r="U153" cm="1">
        <f t="array" ref="U153">SUMPRODUCT(H153:H401, I153:I401*0.9)</f>
        <v>84003.273000000059</v>
      </c>
      <c r="V153" cm="1">
        <f t="array" ref="V153">SUMPRODUCT((H153:H401*1.15)*(I153:I401*0.95))</f>
        <v>101970.63972499999</v>
      </c>
      <c r="W153">
        <f>MONTH(Table1[[#This Row],[Date]])</f>
        <v>11</v>
      </c>
    </row>
    <row r="154" spans="1:23" ht="15.75" customHeight="1" x14ac:dyDescent="0.3">
      <c r="A154" s="4" t="s">
        <v>297</v>
      </c>
      <c r="B154" s="5">
        <v>45623</v>
      </c>
      <c r="C154" s="4" t="s">
        <v>114</v>
      </c>
      <c r="D154" s="4" t="s">
        <v>115</v>
      </c>
      <c r="E154" s="4" t="s">
        <v>46</v>
      </c>
      <c r="F154" s="4" t="s">
        <v>47</v>
      </c>
      <c r="G154" s="4" t="s">
        <v>48</v>
      </c>
      <c r="H154" s="4">
        <v>2</v>
      </c>
      <c r="I154" s="4">
        <v>149.99</v>
      </c>
      <c r="J154" s="4" t="s">
        <v>22</v>
      </c>
      <c r="K154" s="4" t="s">
        <v>37</v>
      </c>
      <c r="L154" s="4" t="s">
        <v>38</v>
      </c>
      <c r="M154" s="5">
        <v>45101</v>
      </c>
      <c r="N154" s="4">
        <v>299.98</v>
      </c>
      <c r="O154" s="7">
        <f t="shared" ca="1" si="10"/>
        <v>46084.816637962962</v>
      </c>
      <c r="P154" s="8">
        <f t="shared" ca="1" si="11"/>
        <v>46084.816637962962</v>
      </c>
      <c r="Q154">
        <f t="shared" si="12"/>
        <v>92087.02</v>
      </c>
      <c r="R154">
        <f t="shared" si="13"/>
        <v>2.4</v>
      </c>
      <c r="S154">
        <f t="shared" si="14"/>
        <v>359.976</v>
      </c>
      <c r="T154" cm="1">
        <f t="array" ref="T154">SUMPRODUCT(H154:H402*1.2, I154:I402)</f>
        <v>110504.42399999994</v>
      </c>
      <c r="U154" cm="1">
        <f t="array" ref="U154">SUMPRODUCT(H154:H402, I154:I402*0.9)</f>
        <v>82878.318000000072</v>
      </c>
      <c r="V154" cm="1">
        <f t="array" ref="V154">SUMPRODUCT((H154:H402*1.15)*(I154:I402*0.95))</f>
        <v>100605.06934999999</v>
      </c>
      <c r="W154">
        <f>MONTH(Table1[[#This Row],[Date]])</f>
        <v>11</v>
      </c>
    </row>
    <row r="155" spans="1:23" ht="15.75" customHeight="1" x14ac:dyDescent="0.3">
      <c r="A155" s="4" t="s">
        <v>298</v>
      </c>
      <c r="B155" s="5">
        <v>45627</v>
      </c>
      <c r="C155" s="4" t="s">
        <v>31</v>
      </c>
      <c r="D155" s="4" t="s">
        <v>32</v>
      </c>
      <c r="E155" s="4" t="s">
        <v>107</v>
      </c>
      <c r="F155" s="4" t="s">
        <v>108</v>
      </c>
      <c r="G155" s="4" t="s">
        <v>48</v>
      </c>
      <c r="H155" s="4">
        <v>3</v>
      </c>
      <c r="I155" s="4">
        <v>299.99</v>
      </c>
      <c r="J155" s="4" t="s">
        <v>22</v>
      </c>
      <c r="K155" s="4" t="s">
        <v>37</v>
      </c>
      <c r="L155" s="4" t="s">
        <v>29</v>
      </c>
      <c r="M155" s="5">
        <v>44659</v>
      </c>
      <c r="N155" s="4">
        <v>899.97</v>
      </c>
      <c r="O155" s="7">
        <f t="shared" ca="1" si="10"/>
        <v>46084.816637962962</v>
      </c>
      <c r="P155" s="8">
        <f t="shared" ca="1" si="11"/>
        <v>46084.816637962962</v>
      </c>
      <c r="Q155">
        <f t="shared" si="12"/>
        <v>91787.040000000008</v>
      </c>
      <c r="R155">
        <f t="shared" si="13"/>
        <v>3.5999999999999996</v>
      </c>
      <c r="S155">
        <f t="shared" si="14"/>
        <v>1079.9639999999999</v>
      </c>
      <c r="T155" cm="1">
        <f t="array" ref="T155">SUMPRODUCT(H155:H403*1.2, I155:I403)</f>
        <v>110144.44799999995</v>
      </c>
      <c r="U155" cm="1">
        <f t="array" ref="U155">SUMPRODUCT(H155:H403, I155:I403*0.9)</f>
        <v>82608.336000000068</v>
      </c>
      <c r="V155" cm="1">
        <f t="array" ref="V155">SUMPRODUCT((H155:H403*1.15)*(I155:I403*0.95))</f>
        <v>100277.3412</v>
      </c>
      <c r="W155">
        <f>MONTH(Table1[[#This Row],[Date]])</f>
        <v>12</v>
      </c>
    </row>
    <row r="156" spans="1:23" ht="15.75" customHeight="1" x14ac:dyDescent="0.3">
      <c r="A156" s="4" t="s">
        <v>299</v>
      </c>
      <c r="B156" s="5">
        <v>45627</v>
      </c>
      <c r="C156" s="4" t="s">
        <v>57</v>
      </c>
      <c r="D156" s="4" t="s">
        <v>58</v>
      </c>
      <c r="E156" s="4" t="s">
        <v>19</v>
      </c>
      <c r="F156" s="4" t="s">
        <v>20</v>
      </c>
      <c r="G156" s="4" t="s">
        <v>21</v>
      </c>
      <c r="H156" s="4">
        <v>5</v>
      </c>
      <c r="I156" s="4">
        <v>249.99</v>
      </c>
      <c r="J156" s="4" t="s">
        <v>22</v>
      </c>
      <c r="K156" s="4" t="s">
        <v>23</v>
      </c>
      <c r="L156" s="4" t="s">
        <v>29</v>
      </c>
      <c r="M156" s="5">
        <v>44485</v>
      </c>
      <c r="N156" s="4">
        <v>1249.95</v>
      </c>
      <c r="O156" s="7">
        <f t="shared" ca="1" si="10"/>
        <v>46084.816637962962</v>
      </c>
      <c r="P156" s="8">
        <f t="shared" ca="1" si="11"/>
        <v>46084.816637962962</v>
      </c>
      <c r="Q156">
        <f t="shared" si="12"/>
        <v>90887.07</v>
      </c>
      <c r="R156">
        <f t="shared" si="13"/>
        <v>6</v>
      </c>
      <c r="S156">
        <f t="shared" si="14"/>
        <v>1499.94</v>
      </c>
      <c r="T156" cm="1">
        <f t="array" ref="T156">SUMPRODUCT(H156:H404*1.2, I156:I404)</f>
        <v>109064.48399999994</v>
      </c>
      <c r="U156" cm="1">
        <f t="array" ref="U156">SUMPRODUCT(H156:H404, I156:I404*0.9)</f>
        <v>81798.36300000007</v>
      </c>
      <c r="V156" cm="1">
        <f t="array" ref="V156">SUMPRODUCT((H156:H404*1.15)*(I156:I404*0.95))</f>
        <v>99294.123974999995</v>
      </c>
      <c r="W156">
        <f>MONTH(Table1[[#This Row],[Date]])</f>
        <v>12</v>
      </c>
    </row>
    <row r="157" spans="1:23" ht="15.75" customHeight="1" x14ac:dyDescent="0.3">
      <c r="A157" s="4" t="s">
        <v>300</v>
      </c>
      <c r="B157" s="5">
        <v>45627</v>
      </c>
      <c r="C157" s="4" t="s">
        <v>26</v>
      </c>
      <c r="D157" s="4" t="s">
        <v>27</v>
      </c>
      <c r="E157" s="4" t="s">
        <v>54</v>
      </c>
      <c r="F157" s="4" t="s">
        <v>55</v>
      </c>
      <c r="G157" s="4" t="s">
        <v>21</v>
      </c>
      <c r="H157" s="4">
        <v>2</v>
      </c>
      <c r="I157" s="4">
        <v>149.99</v>
      </c>
      <c r="J157" s="4" t="s">
        <v>22</v>
      </c>
      <c r="K157" s="4" t="s">
        <v>37</v>
      </c>
      <c r="L157" s="4" t="s">
        <v>29</v>
      </c>
      <c r="M157" s="5">
        <v>44475</v>
      </c>
      <c r="N157" s="4">
        <v>299.98</v>
      </c>
      <c r="O157" s="7">
        <f t="shared" ca="1" si="10"/>
        <v>46084.816637962962</v>
      </c>
      <c r="P157" s="8">
        <f t="shared" ca="1" si="11"/>
        <v>46084.816637962962</v>
      </c>
      <c r="Q157">
        <f t="shared" si="12"/>
        <v>89637.12000000001</v>
      </c>
      <c r="R157">
        <f t="shared" si="13"/>
        <v>2.4</v>
      </c>
      <c r="S157">
        <f t="shared" si="14"/>
        <v>359.976</v>
      </c>
      <c r="T157" cm="1">
        <f t="array" ref="T157">SUMPRODUCT(H157:H405*1.2, I157:I405)</f>
        <v>107564.54399999997</v>
      </c>
      <c r="U157" cm="1">
        <f t="array" ref="U157">SUMPRODUCT(H157:H405, I157:I405*0.9)</f>
        <v>80673.408000000069</v>
      </c>
      <c r="V157" cm="1">
        <f t="array" ref="V157">SUMPRODUCT((H157:H405*1.15)*(I157:I405*0.95))</f>
        <v>97928.553599999985</v>
      </c>
      <c r="W157">
        <f>MONTH(Table1[[#This Row],[Date]])</f>
        <v>12</v>
      </c>
    </row>
    <row r="158" spans="1:23" ht="15.75" customHeight="1" x14ac:dyDescent="0.3">
      <c r="A158" s="4" t="s">
        <v>301</v>
      </c>
      <c r="B158" s="5">
        <v>45627</v>
      </c>
      <c r="C158" s="4" t="s">
        <v>88</v>
      </c>
      <c r="D158" s="4" t="s">
        <v>89</v>
      </c>
      <c r="E158" s="4" t="s">
        <v>82</v>
      </c>
      <c r="F158" s="4" t="s">
        <v>83</v>
      </c>
      <c r="G158" s="4" t="s">
        <v>21</v>
      </c>
      <c r="H158" s="4">
        <v>5</v>
      </c>
      <c r="I158" s="4">
        <v>699.99</v>
      </c>
      <c r="J158" s="4" t="s">
        <v>59</v>
      </c>
      <c r="K158" s="4" t="s">
        <v>52</v>
      </c>
      <c r="L158" s="4" t="s">
        <v>38</v>
      </c>
      <c r="M158" s="5">
        <v>44944</v>
      </c>
      <c r="N158" s="4">
        <v>3499.95</v>
      </c>
      <c r="O158" s="7">
        <f t="shared" ca="1" si="10"/>
        <v>46084.816637962962</v>
      </c>
      <c r="P158" s="8">
        <f t="shared" ca="1" si="11"/>
        <v>46084.816637962962</v>
      </c>
      <c r="Q158">
        <f t="shared" si="12"/>
        <v>89337.140000000014</v>
      </c>
      <c r="R158">
        <f t="shared" si="13"/>
        <v>6</v>
      </c>
      <c r="S158">
        <f t="shared" si="14"/>
        <v>4199.9400000000005</v>
      </c>
      <c r="T158" cm="1">
        <f t="array" ref="T158">SUMPRODUCT(H158:H406*1.2, I158:I406)</f>
        <v>107204.56799999997</v>
      </c>
      <c r="U158" cm="1">
        <f t="array" ref="U158">SUMPRODUCT(H158:H406, I158:I406*0.9)</f>
        <v>80403.42600000008</v>
      </c>
      <c r="V158" cm="1">
        <f t="array" ref="V158">SUMPRODUCT((H158:H406*1.15)*(I158:I406*0.95))</f>
        <v>97600.825449999989</v>
      </c>
      <c r="W158">
        <f>MONTH(Table1[[#This Row],[Date]])</f>
        <v>12</v>
      </c>
    </row>
    <row r="159" spans="1:23" ht="15.75" customHeight="1" x14ac:dyDescent="0.3">
      <c r="A159" s="4" t="s">
        <v>302</v>
      </c>
      <c r="B159" s="5">
        <v>45629</v>
      </c>
      <c r="C159" s="4" t="s">
        <v>254</v>
      </c>
      <c r="D159" s="4" t="s">
        <v>255</v>
      </c>
      <c r="E159" s="4" t="s">
        <v>19</v>
      </c>
      <c r="F159" s="4" t="s">
        <v>20</v>
      </c>
      <c r="G159" s="4" t="s">
        <v>21</v>
      </c>
      <c r="H159" s="4">
        <v>4</v>
      </c>
      <c r="I159" s="4">
        <v>249.99</v>
      </c>
      <c r="J159" s="4" t="s">
        <v>36</v>
      </c>
      <c r="K159" s="4" t="s">
        <v>65</v>
      </c>
      <c r="L159" s="4" t="s">
        <v>29</v>
      </c>
      <c r="M159" s="5">
        <v>45098</v>
      </c>
      <c r="N159" s="4">
        <v>999.96</v>
      </c>
      <c r="O159" s="7">
        <f t="shared" ca="1" si="10"/>
        <v>46084.816637962962</v>
      </c>
      <c r="P159" s="8">
        <f t="shared" ca="1" si="11"/>
        <v>46084.816637962962</v>
      </c>
      <c r="Q159">
        <f t="shared" si="12"/>
        <v>85837.190000000031</v>
      </c>
      <c r="R159">
        <f t="shared" si="13"/>
        <v>4.8</v>
      </c>
      <c r="S159">
        <f t="shared" si="14"/>
        <v>1199.952</v>
      </c>
      <c r="T159" cm="1">
        <f t="array" ref="T159">SUMPRODUCT(H159:H407*1.2, I159:I407)</f>
        <v>103004.62799999997</v>
      </c>
      <c r="U159" cm="1">
        <f t="array" ref="U159">SUMPRODUCT(H159:H407, I159:I407*0.9)</f>
        <v>77253.471000000063</v>
      </c>
      <c r="V159" cm="1">
        <f t="array" ref="V159">SUMPRODUCT((H159:H407*1.15)*(I159:I407*0.95))</f>
        <v>93777.130075000023</v>
      </c>
      <c r="W159">
        <f>MONTH(Table1[[#This Row],[Date]])</f>
        <v>12</v>
      </c>
    </row>
    <row r="160" spans="1:23" ht="15.75" customHeight="1" x14ac:dyDescent="0.3">
      <c r="A160" s="4" t="s">
        <v>303</v>
      </c>
      <c r="B160" s="5">
        <v>45630</v>
      </c>
      <c r="C160" s="4" t="s">
        <v>50</v>
      </c>
      <c r="D160" s="4" t="s">
        <v>51</v>
      </c>
      <c r="E160" s="4" t="s">
        <v>82</v>
      </c>
      <c r="F160" s="4" t="s">
        <v>83</v>
      </c>
      <c r="G160" s="4" t="s">
        <v>21</v>
      </c>
      <c r="H160" s="4">
        <v>4</v>
      </c>
      <c r="I160" s="4">
        <v>699.99</v>
      </c>
      <c r="J160" s="4" t="s">
        <v>28</v>
      </c>
      <c r="K160" s="4" t="s">
        <v>42</v>
      </c>
      <c r="L160" s="4" t="s">
        <v>29</v>
      </c>
      <c r="M160" s="5">
        <v>44703</v>
      </c>
      <c r="N160" s="4">
        <v>2799.96</v>
      </c>
      <c r="O160" s="7">
        <f t="shared" ca="1" si="10"/>
        <v>46084.816637962962</v>
      </c>
      <c r="P160" s="8">
        <f t="shared" ca="1" si="11"/>
        <v>46084.816637962962</v>
      </c>
      <c r="Q160">
        <f t="shared" si="12"/>
        <v>84837.230000000025</v>
      </c>
      <c r="R160">
        <f t="shared" si="13"/>
        <v>4.8</v>
      </c>
      <c r="S160">
        <f t="shared" si="14"/>
        <v>3359.9519999999998</v>
      </c>
      <c r="T160" cm="1">
        <f t="array" ref="T160">SUMPRODUCT(H160:H408*1.2, I160:I408)</f>
        <v>101804.67599999998</v>
      </c>
      <c r="U160" cm="1">
        <f t="array" ref="U160">SUMPRODUCT(H160:H408, I160:I408*0.9)</f>
        <v>76353.507000000071</v>
      </c>
      <c r="V160" cm="1">
        <f t="array" ref="V160">SUMPRODUCT((H160:H408*1.15)*(I160:I408*0.95))</f>
        <v>92684.673775000032</v>
      </c>
      <c r="W160">
        <f>MONTH(Table1[[#This Row],[Date]])</f>
        <v>12</v>
      </c>
    </row>
    <row r="161" spans="1:23" ht="15.75" customHeight="1" x14ac:dyDescent="0.3">
      <c r="A161" s="4" t="s">
        <v>304</v>
      </c>
      <c r="B161" s="5">
        <v>45635</v>
      </c>
      <c r="C161" s="4" t="s">
        <v>110</v>
      </c>
      <c r="D161" s="4" t="s">
        <v>111</v>
      </c>
      <c r="E161" s="4" t="s">
        <v>19</v>
      </c>
      <c r="F161" s="4" t="s">
        <v>20</v>
      </c>
      <c r="G161" s="4" t="s">
        <v>21</v>
      </c>
      <c r="H161" s="4">
        <v>2</v>
      </c>
      <c r="I161" s="4">
        <v>249.99</v>
      </c>
      <c r="J161" s="4" t="s">
        <v>28</v>
      </c>
      <c r="K161" s="4" t="s">
        <v>23</v>
      </c>
      <c r="L161" s="4" t="s">
        <v>29</v>
      </c>
      <c r="M161" s="5">
        <v>44396</v>
      </c>
      <c r="N161" s="4">
        <v>499.98</v>
      </c>
      <c r="O161" s="7">
        <f t="shared" ca="1" si="10"/>
        <v>46084.816637962962</v>
      </c>
      <c r="P161" s="8">
        <f t="shared" ca="1" si="11"/>
        <v>46084.816637962962</v>
      </c>
      <c r="Q161">
        <f t="shared" si="12"/>
        <v>82037.270000000019</v>
      </c>
      <c r="R161">
        <f t="shared" si="13"/>
        <v>2.4</v>
      </c>
      <c r="S161">
        <f t="shared" si="14"/>
        <v>599.976</v>
      </c>
      <c r="T161" cm="1">
        <f t="array" ref="T161">SUMPRODUCT(H161:H409*1.2, I161:I409)</f>
        <v>98444.723999999958</v>
      </c>
      <c r="U161" cm="1">
        <f t="array" ref="U161">SUMPRODUCT(H161:H409, I161:I409*0.9)</f>
        <v>73833.543000000078</v>
      </c>
      <c r="V161" cm="1">
        <f t="array" ref="V161">SUMPRODUCT((H161:H409*1.15)*(I161:I409*0.95))</f>
        <v>89625.717475000027</v>
      </c>
      <c r="W161">
        <f>MONTH(Table1[[#This Row],[Date]])</f>
        <v>12</v>
      </c>
    </row>
    <row r="162" spans="1:23" ht="15.75" customHeight="1" x14ac:dyDescent="0.3">
      <c r="A162" s="4" t="s">
        <v>305</v>
      </c>
      <c r="B162" s="5">
        <v>45635</v>
      </c>
      <c r="C162" s="4" t="s">
        <v>306</v>
      </c>
      <c r="D162" s="4" t="s">
        <v>307</v>
      </c>
      <c r="E162" s="4" t="s">
        <v>33</v>
      </c>
      <c r="F162" s="4" t="s">
        <v>34</v>
      </c>
      <c r="G162" s="4" t="s">
        <v>35</v>
      </c>
      <c r="H162" s="4">
        <v>3</v>
      </c>
      <c r="I162" s="4">
        <v>59.99</v>
      </c>
      <c r="J162" s="4" t="s">
        <v>22</v>
      </c>
      <c r="K162" s="4" t="s">
        <v>23</v>
      </c>
      <c r="L162" s="4" t="s">
        <v>29</v>
      </c>
      <c r="M162" s="5">
        <v>45052</v>
      </c>
      <c r="N162" s="4">
        <v>179.97</v>
      </c>
      <c r="O162" s="7">
        <f t="shared" ca="1" si="10"/>
        <v>46084.816637962962</v>
      </c>
      <c r="P162" s="8">
        <f t="shared" ca="1" si="11"/>
        <v>46084.816637962962</v>
      </c>
      <c r="Q162">
        <f t="shared" si="12"/>
        <v>81537.290000000023</v>
      </c>
      <c r="R162">
        <f t="shared" si="13"/>
        <v>3.5999999999999996</v>
      </c>
      <c r="S162">
        <f t="shared" si="14"/>
        <v>215.964</v>
      </c>
      <c r="T162" cm="1">
        <f t="array" ref="T162">SUMPRODUCT(H162:H410*1.2, I162:I410)</f>
        <v>97844.747999999963</v>
      </c>
      <c r="U162" cm="1">
        <f t="array" ref="U162">SUMPRODUCT(H162:H410, I162:I410*0.9)</f>
        <v>73383.56100000006</v>
      </c>
      <c r="V162" cm="1">
        <f t="array" ref="V162">SUMPRODUCT((H162:H410*1.15)*(I162:I410*0.95))</f>
        <v>89079.489325000017</v>
      </c>
      <c r="W162">
        <f>MONTH(Table1[[#This Row],[Date]])</f>
        <v>12</v>
      </c>
    </row>
    <row r="163" spans="1:23" ht="15.75" customHeight="1" x14ac:dyDescent="0.3">
      <c r="A163" s="4" t="s">
        <v>308</v>
      </c>
      <c r="B163" s="5">
        <v>45635</v>
      </c>
      <c r="C163" s="4" t="s">
        <v>143</v>
      </c>
      <c r="D163" s="4" t="s">
        <v>144</v>
      </c>
      <c r="E163" s="4" t="s">
        <v>116</v>
      </c>
      <c r="F163" s="4" t="s">
        <v>117</v>
      </c>
      <c r="G163" s="4" t="s">
        <v>35</v>
      </c>
      <c r="H163" s="4">
        <v>4</v>
      </c>
      <c r="I163" s="4">
        <v>79.989999999999995</v>
      </c>
      <c r="J163" s="4" t="s">
        <v>59</v>
      </c>
      <c r="K163" s="4" t="s">
        <v>65</v>
      </c>
      <c r="L163" s="4" t="s">
        <v>38</v>
      </c>
      <c r="M163" s="5">
        <v>44921</v>
      </c>
      <c r="N163" s="4">
        <v>319.95999999999998</v>
      </c>
      <c r="O163" s="7">
        <f t="shared" ca="1" si="10"/>
        <v>46084.816637962962</v>
      </c>
      <c r="P163" s="8">
        <f t="shared" ca="1" si="11"/>
        <v>46084.816637962962</v>
      </c>
      <c r="Q163">
        <f t="shared" si="12"/>
        <v>81357.320000000007</v>
      </c>
      <c r="R163">
        <f t="shared" si="13"/>
        <v>4.8</v>
      </c>
      <c r="S163">
        <f t="shared" si="14"/>
        <v>383.95199999999994</v>
      </c>
      <c r="T163" cm="1">
        <f t="array" ref="T163">SUMPRODUCT(H163:H411*1.2, I163:I411)</f>
        <v>97628.783999999956</v>
      </c>
      <c r="U163" cm="1">
        <f t="array" ref="U163">SUMPRODUCT(H163:H411, I163:I411*0.9)</f>
        <v>73221.588000000062</v>
      </c>
      <c r="V163" cm="1">
        <f t="array" ref="V163">SUMPRODUCT((H163:H411*1.15)*(I163:I411*0.95))</f>
        <v>88882.872100000022</v>
      </c>
      <c r="W163">
        <f>MONTH(Table1[[#This Row],[Date]])</f>
        <v>12</v>
      </c>
    </row>
    <row r="164" spans="1:23" ht="15.75" customHeight="1" x14ac:dyDescent="0.3">
      <c r="A164" s="4" t="s">
        <v>309</v>
      </c>
      <c r="B164" s="5">
        <v>45636</v>
      </c>
      <c r="C164" s="4" t="s">
        <v>122</v>
      </c>
      <c r="D164" s="4" t="s">
        <v>123</v>
      </c>
      <c r="E164" s="4" t="s">
        <v>116</v>
      </c>
      <c r="F164" s="4" t="s">
        <v>117</v>
      </c>
      <c r="G164" s="4" t="s">
        <v>35</v>
      </c>
      <c r="H164" s="4">
        <v>3</v>
      </c>
      <c r="I164" s="4">
        <v>79.989999999999995</v>
      </c>
      <c r="J164" s="4" t="s">
        <v>59</v>
      </c>
      <c r="K164" s="4" t="s">
        <v>65</v>
      </c>
      <c r="L164" s="4" t="s">
        <v>38</v>
      </c>
      <c r="M164" s="5">
        <v>44779</v>
      </c>
      <c r="N164" s="4">
        <v>239.97</v>
      </c>
      <c r="O164" s="7">
        <f t="shared" ca="1" si="10"/>
        <v>46084.816637962962</v>
      </c>
      <c r="P164" s="8">
        <f t="shared" ca="1" si="11"/>
        <v>46084.816637962962</v>
      </c>
      <c r="Q164">
        <f t="shared" si="12"/>
        <v>81037.360000000015</v>
      </c>
      <c r="R164">
        <f t="shared" si="13"/>
        <v>3.5999999999999996</v>
      </c>
      <c r="S164">
        <f t="shared" si="14"/>
        <v>287.96399999999994</v>
      </c>
      <c r="T164" cm="1">
        <f t="array" ref="T164">SUMPRODUCT(H164:H412*1.2, I164:I412)</f>
        <v>97244.831999999966</v>
      </c>
      <c r="U164" cm="1">
        <f t="array" ref="U164">SUMPRODUCT(H164:H412, I164:I412*0.9)</f>
        <v>72933.624000000054</v>
      </c>
      <c r="V164" cm="1">
        <f t="array" ref="V164">SUMPRODUCT((H164:H412*1.15)*(I164:I412*0.95))</f>
        <v>88533.315800000026</v>
      </c>
      <c r="W164">
        <f>MONTH(Table1[[#This Row],[Date]])</f>
        <v>12</v>
      </c>
    </row>
    <row r="165" spans="1:23" ht="15.75" customHeight="1" x14ac:dyDescent="0.3">
      <c r="A165" s="4" t="s">
        <v>310</v>
      </c>
      <c r="B165" s="5">
        <v>45638</v>
      </c>
      <c r="C165" s="4" t="s">
        <v>74</v>
      </c>
      <c r="D165" s="4" t="s">
        <v>75</v>
      </c>
      <c r="E165" s="4" t="s">
        <v>63</v>
      </c>
      <c r="F165" s="4" t="s">
        <v>64</v>
      </c>
      <c r="G165" s="4" t="s">
        <v>21</v>
      </c>
      <c r="H165" s="4">
        <v>2</v>
      </c>
      <c r="I165" s="4">
        <v>899.99</v>
      </c>
      <c r="J165" s="4" t="s">
        <v>22</v>
      </c>
      <c r="K165" s="4" t="s">
        <v>42</v>
      </c>
      <c r="L165" s="4" t="s">
        <v>24</v>
      </c>
      <c r="M165" s="5">
        <v>44406</v>
      </c>
      <c r="N165" s="4">
        <v>1799.98</v>
      </c>
      <c r="O165" s="7">
        <f t="shared" ca="1" si="10"/>
        <v>46084.816637962962</v>
      </c>
      <c r="P165" s="8">
        <f t="shared" ca="1" si="11"/>
        <v>46084.816637962962</v>
      </c>
      <c r="Q165">
        <f t="shared" si="12"/>
        <v>80797.390000000014</v>
      </c>
      <c r="R165">
        <f t="shared" si="13"/>
        <v>2.4</v>
      </c>
      <c r="S165">
        <f t="shared" si="14"/>
        <v>2159.9760000000001</v>
      </c>
      <c r="T165" cm="1">
        <f t="array" ref="T165">SUMPRODUCT(H165:H413*1.2, I165:I413)</f>
        <v>96956.867999999959</v>
      </c>
      <c r="U165" cm="1">
        <f t="array" ref="U165">SUMPRODUCT(H165:H413, I165:I413*0.9)</f>
        <v>72717.651000000042</v>
      </c>
      <c r="V165" cm="1">
        <f t="array" ref="V165">SUMPRODUCT((H165:H413*1.15)*(I165:I413*0.95))</f>
        <v>88271.148575000043</v>
      </c>
      <c r="W165">
        <f>MONTH(Table1[[#This Row],[Date]])</f>
        <v>12</v>
      </c>
    </row>
    <row r="166" spans="1:23" ht="15.75" customHeight="1" x14ac:dyDescent="0.3">
      <c r="A166" s="4" t="s">
        <v>311</v>
      </c>
      <c r="B166" s="5">
        <v>45641</v>
      </c>
      <c r="C166" s="4" t="s">
        <v>184</v>
      </c>
      <c r="D166" s="4" t="s">
        <v>185</v>
      </c>
      <c r="E166" s="4" t="s">
        <v>46</v>
      </c>
      <c r="F166" s="4" t="s">
        <v>47</v>
      </c>
      <c r="G166" s="4" t="s">
        <v>48</v>
      </c>
      <c r="H166" s="4">
        <v>1</v>
      </c>
      <c r="I166" s="4">
        <v>149.99</v>
      </c>
      <c r="J166" s="4" t="s">
        <v>59</v>
      </c>
      <c r="K166" s="4" t="s">
        <v>65</v>
      </c>
      <c r="L166" s="4" t="s">
        <v>38</v>
      </c>
      <c r="M166" s="5">
        <v>45200</v>
      </c>
      <c r="N166" s="4">
        <v>149.99</v>
      </c>
      <c r="O166" s="7">
        <f t="shared" ca="1" si="10"/>
        <v>46084.816637962962</v>
      </c>
      <c r="P166" s="8">
        <f t="shared" ca="1" si="11"/>
        <v>46084.816637962962</v>
      </c>
      <c r="Q166">
        <f t="shared" si="12"/>
        <v>78997.410000000018</v>
      </c>
      <c r="R166">
        <f t="shared" si="13"/>
        <v>1.2</v>
      </c>
      <c r="S166">
        <f t="shared" si="14"/>
        <v>179.988</v>
      </c>
      <c r="T166" cm="1">
        <f t="array" ref="T166">SUMPRODUCT(H166:H414*1.2, I166:I414)</f>
        <v>94796.891999999963</v>
      </c>
      <c r="U166" cm="1">
        <f t="array" ref="U166">SUMPRODUCT(H166:H414, I166:I414*0.9)</f>
        <v>71097.669000000053</v>
      </c>
      <c r="V166" cm="1">
        <f t="array" ref="V166">SUMPRODUCT((H166:H414*1.15)*(I166:I414*0.95))</f>
        <v>86304.670425000033</v>
      </c>
      <c r="W166">
        <f>MONTH(Table1[[#This Row],[Date]])</f>
        <v>12</v>
      </c>
    </row>
    <row r="167" spans="1:23" ht="15.75" customHeight="1" x14ac:dyDescent="0.3">
      <c r="A167" s="4" t="s">
        <v>312</v>
      </c>
      <c r="B167" s="5">
        <v>45641</v>
      </c>
      <c r="C167" s="4" t="s">
        <v>140</v>
      </c>
      <c r="D167" s="4" t="s">
        <v>141</v>
      </c>
      <c r="E167" s="4" t="s">
        <v>107</v>
      </c>
      <c r="F167" s="4" t="s">
        <v>108</v>
      </c>
      <c r="G167" s="4" t="s">
        <v>48</v>
      </c>
      <c r="H167" s="4">
        <v>2</v>
      </c>
      <c r="I167" s="4">
        <v>299.99</v>
      </c>
      <c r="J167" s="4" t="s">
        <v>22</v>
      </c>
      <c r="K167" s="4" t="s">
        <v>65</v>
      </c>
      <c r="L167" s="4" t="s">
        <v>29</v>
      </c>
      <c r="M167" s="5">
        <v>44724</v>
      </c>
      <c r="N167" s="4">
        <v>599.98</v>
      </c>
      <c r="O167" s="7">
        <f t="shared" ca="1" si="10"/>
        <v>46084.816637962962</v>
      </c>
      <c r="P167" s="8">
        <f t="shared" ca="1" si="11"/>
        <v>46084.816637962962</v>
      </c>
      <c r="Q167">
        <f t="shared" si="12"/>
        <v>78847.420000000013</v>
      </c>
      <c r="R167">
        <f t="shared" si="13"/>
        <v>2.4</v>
      </c>
      <c r="S167">
        <f t="shared" si="14"/>
        <v>719.976</v>
      </c>
      <c r="T167" cm="1">
        <f t="array" ref="T167">SUMPRODUCT(H167:H415*1.2, I167:I415)</f>
        <v>94616.90399999998</v>
      </c>
      <c r="U167" cm="1">
        <f t="array" ref="U167">SUMPRODUCT(H167:H415, I167:I415*0.9)</f>
        <v>70962.678000000044</v>
      </c>
      <c r="V167" cm="1">
        <f t="array" ref="V167">SUMPRODUCT((H167:H415*1.15)*(I167:I415*0.95))</f>
        <v>86140.806350000043</v>
      </c>
      <c r="W167">
        <f>MONTH(Table1[[#This Row],[Date]])</f>
        <v>12</v>
      </c>
    </row>
    <row r="168" spans="1:23" ht="15.75" customHeight="1" x14ac:dyDescent="0.3">
      <c r="A168" s="4" t="s">
        <v>313</v>
      </c>
      <c r="B168" s="5">
        <v>45644</v>
      </c>
      <c r="C168" s="4" t="s">
        <v>134</v>
      </c>
      <c r="D168" s="4" t="s">
        <v>135</v>
      </c>
      <c r="E168" s="4" t="s">
        <v>33</v>
      </c>
      <c r="F168" s="4" t="s">
        <v>34</v>
      </c>
      <c r="G168" s="4" t="s">
        <v>35</v>
      </c>
      <c r="H168" s="4">
        <v>2</v>
      </c>
      <c r="I168" s="4">
        <v>59.99</v>
      </c>
      <c r="J168" s="4" t="s">
        <v>22</v>
      </c>
      <c r="K168" s="4" t="s">
        <v>52</v>
      </c>
      <c r="L168" s="4" t="s">
        <v>24</v>
      </c>
      <c r="M168" s="5">
        <v>45191</v>
      </c>
      <c r="N168" s="4">
        <v>119.98</v>
      </c>
      <c r="O168" s="7">
        <f t="shared" ca="1" si="10"/>
        <v>46084.816637962962</v>
      </c>
      <c r="P168" s="8">
        <f t="shared" ca="1" si="11"/>
        <v>46084.816637962962</v>
      </c>
      <c r="Q168">
        <f t="shared" si="12"/>
        <v>78247.440000000017</v>
      </c>
      <c r="R168">
        <f t="shared" si="13"/>
        <v>2.4</v>
      </c>
      <c r="S168">
        <f t="shared" si="14"/>
        <v>143.976</v>
      </c>
      <c r="T168" cm="1">
        <f t="array" ref="T168">SUMPRODUCT(H168:H416*1.2, I168:I416)</f>
        <v>93896.927999999985</v>
      </c>
      <c r="U168" cm="1">
        <f t="array" ref="U168">SUMPRODUCT(H168:H416, I168:I416*0.9)</f>
        <v>70422.696000000054</v>
      </c>
      <c r="V168" cm="1">
        <f t="array" ref="V168">SUMPRODUCT((H168:H416*1.15)*(I168:I416*0.95))</f>
        <v>85485.328200000033</v>
      </c>
      <c r="W168">
        <f>MONTH(Table1[[#This Row],[Date]])</f>
        <v>12</v>
      </c>
    </row>
    <row r="169" spans="1:23" ht="15.75" customHeight="1" x14ac:dyDescent="0.3">
      <c r="A169" s="4" t="s">
        <v>314</v>
      </c>
      <c r="B169" s="5">
        <v>45645</v>
      </c>
      <c r="C169" s="4" t="s">
        <v>184</v>
      </c>
      <c r="D169" s="4" t="s">
        <v>185</v>
      </c>
      <c r="E169" s="4" t="s">
        <v>119</v>
      </c>
      <c r="F169" s="4" t="s">
        <v>120</v>
      </c>
      <c r="G169" s="4" t="s">
        <v>21</v>
      </c>
      <c r="H169" s="4">
        <v>1</v>
      </c>
      <c r="I169" s="4">
        <v>89.99</v>
      </c>
      <c r="J169" s="4" t="s">
        <v>59</v>
      </c>
      <c r="K169" s="4" t="s">
        <v>23</v>
      </c>
      <c r="L169" s="4" t="s">
        <v>38</v>
      </c>
      <c r="M169" s="5">
        <v>44760</v>
      </c>
      <c r="N169" s="4">
        <v>89.99</v>
      </c>
      <c r="O169" s="7">
        <f t="shared" ca="1" si="10"/>
        <v>46084.816637962962</v>
      </c>
      <c r="P169" s="8">
        <f t="shared" ca="1" si="11"/>
        <v>46084.816637962962</v>
      </c>
      <c r="Q169">
        <f t="shared" si="12"/>
        <v>78127.460000000021</v>
      </c>
      <c r="R169">
        <f t="shared" si="13"/>
        <v>1.2</v>
      </c>
      <c r="S169">
        <f t="shared" si="14"/>
        <v>107.98799999999999</v>
      </c>
      <c r="T169" cm="1">
        <f t="array" ref="T169">SUMPRODUCT(H169:H417*1.2, I169:I417)</f>
        <v>93752.951999999961</v>
      </c>
      <c r="U169" cm="1">
        <f t="array" ref="U169">SUMPRODUCT(H169:H417, I169:I417*0.9)</f>
        <v>70314.714000000051</v>
      </c>
      <c r="V169" cm="1">
        <f t="array" ref="V169">SUMPRODUCT((H169:H417*1.15)*(I169:I417*0.95))</f>
        <v>85354.250050000031</v>
      </c>
      <c r="W169">
        <f>MONTH(Table1[[#This Row],[Date]])</f>
        <v>12</v>
      </c>
    </row>
    <row r="170" spans="1:23" ht="15.75" customHeight="1" x14ac:dyDescent="0.3">
      <c r="A170" s="4" t="s">
        <v>315</v>
      </c>
      <c r="B170" s="5">
        <v>45645</v>
      </c>
      <c r="C170" s="4" t="s">
        <v>149</v>
      </c>
      <c r="D170" s="4" t="s">
        <v>150</v>
      </c>
      <c r="E170" s="4" t="s">
        <v>63</v>
      </c>
      <c r="F170" s="4" t="s">
        <v>64</v>
      </c>
      <c r="G170" s="4" t="s">
        <v>21</v>
      </c>
      <c r="H170" s="4">
        <v>5</v>
      </c>
      <c r="I170" s="4">
        <v>899.99</v>
      </c>
      <c r="J170" s="4" t="s">
        <v>59</v>
      </c>
      <c r="K170" s="4" t="s">
        <v>65</v>
      </c>
      <c r="L170" s="4" t="s">
        <v>38</v>
      </c>
      <c r="M170" s="5">
        <v>44625</v>
      </c>
      <c r="N170" s="4">
        <v>4499.95</v>
      </c>
      <c r="O170" s="7">
        <f t="shared" ca="1" si="10"/>
        <v>46084.816637962962</v>
      </c>
      <c r="P170" s="8">
        <f t="shared" ca="1" si="11"/>
        <v>46084.816637962962</v>
      </c>
      <c r="Q170">
        <f t="shared" si="12"/>
        <v>78037.470000000016</v>
      </c>
      <c r="R170">
        <f t="shared" si="13"/>
        <v>6</v>
      </c>
      <c r="S170">
        <f t="shared" si="14"/>
        <v>5399.9400000000005</v>
      </c>
      <c r="T170" cm="1">
        <f t="array" ref="T170">SUMPRODUCT(H170:H418*1.2, I170:I418)</f>
        <v>93644.963999999978</v>
      </c>
      <c r="U170" cm="1">
        <f t="array" ref="U170">SUMPRODUCT(H170:H418, I170:I418*0.9)</f>
        <v>70233.723000000042</v>
      </c>
      <c r="V170" cm="1">
        <f t="array" ref="V170">SUMPRODUCT((H170:H418*1.15)*(I170:I418*0.95))</f>
        <v>85255.935975000044</v>
      </c>
      <c r="W170">
        <f>MONTH(Table1[[#This Row],[Date]])</f>
        <v>12</v>
      </c>
    </row>
    <row r="171" spans="1:23" ht="15.75" customHeight="1" x14ac:dyDescent="0.3">
      <c r="A171" s="4" t="s">
        <v>316</v>
      </c>
      <c r="B171" s="5">
        <v>45646</v>
      </c>
      <c r="C171" s="4" t="s">
        <v>44</v>
      </c>
      <c r="D171" s="4" t="s">
        <v>45</v>
      </c>
      <c r="E171" s="4" t="s">
        <v>46</v>
      </c>
      <c r="F171" s="4" t="s">
        <v>47</v>
      </c>
      <c r="G171" s="4" t="s">
        <v>48</v>
      </c>
      <c r="H171" s="4">
        <v>2</v>
      </c>
      <c r="I171" s="4">
        <v>149.99</v>
      </c>
      <c r="J171" s="4" t="s">
        <v>22</v>
      </c>
      <c r="K171" s="4" t="s">
        <v>37</v>
      </c>
      <c r="L171" s="4" t="s">
        <v>24</v>
      </c>
      <c r="M171" s="5">
        <v>45239</v>
      </c>
      <c r="N171" s="4">
        <v>299.98</v>
      </c>
      <c r="O171" s="7">
        <f t="shared" ca="1" si="10"/>
        <v>46084.816637962962</v>
      </c>
      <c r="P171" s="8">
        <f t="shared" ca="1" si="11"/>
        <v>46084.816637962962</v>
      </c>
      <c r="Q171">
        <f t="shared" si="12"/>
        <v>73537.52</v>
      </c>
      <c r="R171">
        <f t="shared" si="13"/>
        <v>2.4</v>
      </c>
      <c r="S171">
        <f t="shared" si="14"/>
        <v>359.976</v>
      </c>
      <c r="T171" cm="1">
        <f t="array" ref="T171">SUMPRODUCT(H171:H419*1.2, I171:I419)</f>
        <v>88245.024000000005</v>
      </c>
      <c r="U171" cm="1">
        <f t="array" ref="U171">SUMPRODUCT(H171:H419, I171:I419*0.9)</f>
        <v>66183.768000000055</v>
      </c>
      <c r="V171" cm="1">
        <f t="array" ref="V171">SUMPRODUCT((H171:H419*1.15)*(I171:I419*0.95))</f>
        <v>80339.740600000019</v>
      </c>
      <c r="W171">
        <f>MONTH(Table1[[#This Row],[Date]])</f>
        <v>12</v>
      </c>
    </row>
    <row r="172" spans="1:23" ht="15.75" customHeight="1" x14ac:dyDescent="0.3">
      <c r="A172" s="4" t="s">
        <v>317</v>
      </c>
      <c r="B172" s="5">
        <v>45648</v>
      </c>
      <c r="C172" s="4" t="s">
        <v>114</v>
      </c>
      <c r="D172" s="4" t="s">
        <v>115</v>
      </c>
      <c r="E172" s="4" t="s">
        <v>54</v>
      </c>
      <c r="F172" s="4" t="s">
        <v>55</v>
      </c>
      <c r="G172" s="4" t="s">
        <v>21</v>
      </c>
      <c r="H172" s="4">
        <v>2</v>
      </c>
      <c r="I172" s="4">
        <v>149.99</v>
      </c>
      <c r="J172" s="4" t="s">
        <v>59</v>
      </c>
      <c r="K172" s="4" t="s">
        <v>52</v>
      </c>
      <c r="L172" s="4" t="s">
        <v>29</v>
      </c>
      <c r="M172" s="5">
        <v>45280</v>
      </c>
      <c r="N172" s="4">
        <v>299.98</v>
      </c>
      <c r="O172" s="7">
        <f t="shared" ca="1" si="10"/>
        <v>46084.816637962962</v>
      </c>
      <c r="P172" s="8">
        <f t="shared" ca="1" si="11"/>
        <v>46084.816637962962</v>
      </c>
      <c r="Q172">
        <f t="shared" si="12"/>
        <v>73237.540000000008</v>
      </c>
      <c r="R172">
        <f t="shared" si="13"/>
        <v>2.4</v>
      </c>
      <c r="S172">
        <f t="shared" si="14"/>
        <v>359.976</v>
      </c>
      <c r="T172" cm="1">
        <f t="array" ref="T172">SUMPRODUCT(H172:H420*1.2, I172:I420)</f>
        <v>87885.047999999981</v>
      </c>
      <c r="U172" cm="1">
        <f t="array" ref="U172">SUMPRODUCT(H172:H420, I172:I420*0.9)</f>
        <v>65913.786000000036</v>
      </c>
      <c r="V172" cm="1">
        <f t="array" ref="V172">SUMPRODUCT((H172:H420*1.15)*(I172:I420*0.95))</f>
        <v>80012.012450000024</v>
      </c>
      <c r="W172">
        <f>MONTH(Table1[[#This Row],[Date]])</f>
        <v>12</v>
      </c>
    </row>
    <row r="173" spans="1:23" ht="15.75" customHeight="1" x14ac:dyDescent="0.3">
      <c r="A173" s="4" t="s">
        <v>318</v>
      </c>
      <c r="B173" s="5">
        <v>45648</v>
      </c>
      <c r="C173" s="4" t="s">
        <v>184</v>
      </c>
      <c r="D173" s="4" t="s">
        <v>185</v>
      </c>
      <c r="E173" s="4" t="s">
        <v>46</v>
      </c>
      <c r="F173" s="4" t="s">
        <v>47</v>
      </c>
      <c r="G173" s="4" t="s">
        <v>48</v>
      </c>
      <c r="H173" s="4">
        <v>3</v>
      </c>
      <c r="I173" s="4">
        <v>149.99</v>
      </c>
      <c r="J173" s="4" t="s">
        <v>59</v>
      </c>
      <c r="K173" s="4" t="s">
        <v>42</v>
      </c>
      <c r="L173" s="4" t="s">
        <v>38</v>
      </c>
      <c r="M173" s="5">
        <v>44522</v>
      </c>
      <c r="N173" s="4">
        <v>449.97</v>
      </c>
      <c r="O173" s="7">
        <f t="shared" ca="1" si="10"/>
        <v>46084.816637962962</v>
      </c>
      <c r="P173" s="8">
        <f t="shared" ca="1" si="11"/>
        <v>46084.816637962962</v>
      </c>
      <c r="Q173">
        <f t="shared" si="12"/>
        <v>72937.56</v>
      </c>
      <c r="R173">
        <f t="shared" si="13"/>
        <v>3.5999999999999996</v>
      </c>
      <c r="S173">
        <f t="shared" si="14"/>
        <v>539.96399999999994</v>
      </c>
      <c r="T173" cm="1">
        <f t="array" ref="T173">SUMPRODUCT(H173:H421*1.2, I173:I421)</f>
        <v>87525.071999999986</v>
      </c>
      <c r="U173" cm="1">
        <f t="array" ref="U173">SUMPRODUCT(H173:H421, I173:I421*0.9)</f>
        <v>65643.804000000062</v>
      </c>
      <c r="V173" cm="1">
        <f t="array" ref="V173">SUMPRODUCT((H173:H421*1.15)*(I173:I421*0.95))</f>
        <v>79684.284300000028</v>
      </c>
      <c r="W173">
        <f>MONTH(Table1[[#This Row],[Date]])</f>
        <v>12</v>
      </c>
    </row>
    <row r="174" spans="1:23" ht="15.75" customHeight="1" x14ac:dyDescent="0.3">
      <c r="A174" s="4" t="s">
        <v>319</v>
      </c>
      <c r="B174" s="5">
        <v>45649</v>
      </c>
      <c r="C174" s="4" t="s">
        <v>31</v>
      </c>
      <c r="D174" s="4" t="s">
        <v>32</v>
      </c>
      <c r="E174" s="4" t="s">
        <v>107</v>
      </c>
      <c r="F174" s="4" t="s">
        <v>108</v>
      </c>
      <c r="G174" s="4" t="s">
        <v>48</v>
      </c>
      <c r="H174" s="4">
        <v>2</v>
      </c>
      <c r="I174" s="4">
        <v>299.99</v>
      </c>
      <c r="J174" s="4" t="s">
        <v>36</v>
      </c>
      <c r="K174" s="4" t="s">
        <v>37</v>
      </c>
      <c r="L174" s="4" t="s">
        <v>24</v>
      </c>
      <c r="M174" s="5">
        <v>44721</v>
      </c>
      <c r="N174" s="4">
        <v>599.98</v>
      </c>
      <c r="O174" s="7">
        <f t="shared" ca="1" si="10"/>
        <v>46084.816637962962</v>
      </c>
      <c r="P174" s="8">
        <f t="shared" ca="1" si="11"/>
        <v>46084.816637962962</v>
      </c>
      <c r="Q174">
        <f t="shared" si="12"/>
        <v>72487.590000000011</v>
      </c>
      <c r="R174">
        <f t="shared" si="13"/>
        <v>2.4</v>
      </c>
      <c r="S174">
        <f t="shared" si="14"/>
        <v>719.976</v>
      </c>
      <c r="T174" cm="1">
        <f t="array" ref="T174">SUMPRODUCT(H174:H422*1.2, I174:I422)</f>
        <v>86985.107999999978</v>
      </c>
      <c r="U174" cm="1">
        <f t="array" ref="U174">SUMPRODUCT(H174:H422, I174:I422*0.9)</f>
        <v>65238.831000000042</v>
      </c>
      <c r="V174" cm="1">
        <f t="array" ref="V174">SUMPRODUCT((H174:H422*1.15)*(I174:I422*0.95))</f>
        <v>79192.692075000028</v>
      </c>
      <c r="W174">
        <f>MONTH(Table1[[#This Row],[Date]])</f>
        <v>12</v>
      </c>
    </row>
    <row r="175" spans="1:23" ht="15.75" customHeight="1" x14ac:dyDescent="0.3">
      <c r="A175" s="4" t="s">
        <v>320</v>
      </c>
      <c r="B175" s="5">
        <v>45654</v>
      </c>
      <c r="C175" s="4" t="s">
        <v>44</v>
      </c>
      <c r="D175" s="4" t="s">
        <v>45</v>
      </c>
      <c r="E175" s="4" t="s">
        <v>107</v>
      </c>
      <c r="F175" s="4" t="s">
        <v>108</v>
      </c>
      <c r="G175" s="4" t="s">
        <v>48</v>
      </c>
      <c r="H175" s="4">
        <v>2</v>
      </c>
      <c r="I175" s="4">
        <v>299.99</v>
      </c>
      <c r="J175" s="4" t="s">
        <v>22</v>
      </c>
      <c r="K175" s="4" t="s">
        <v>52</v>
      </c>
      <c r="L175" s="4" t="s">
        <v>24</v>
      </c>
      <c r="M175" s="5">
        <v>44771</v>
      </c>
      <c r="N175" s="4">
        <v>599.98</v>
      </c>
      <c r="O175" s="7">
        <f t="shared" ca="1" si="10"/>
        <v>46084.816637962962</v>
      </c>
      <c r="P175" s="8">
        <f t="shared" ca="1" si="11"/>
        <v>46084.816637962962</v>
      </c>
      <c r="Q175">
        <f t="shared" si="12"/>
        <v>71887.610000000015</v>
      </c>
      <c r="R175">
        <f t="shared" si="13"/>
        <v>2.4</v>
      </c>
      <c r="S175">
        <f t="shared" si="14"/>
        <v>719.976</v>
      </c>
      <c r="T175" cm="1">
        <f t="array" ref="T175">SUMPRODUCT(H175:H423*1.2, I175:I423)</f>
        <v>86265.131999999983</v>
      </c>
      <c r="U175" cm="1">
        <f t="array" ref="U175">SUMPRODUCT(H175:H423, I175:I423*0.9)</f>
        <v>64698.849000000053</v>
      </c>
      <c r="V175" cm="1">
        <f t="array" ref="V175">SUMPRODUCT((H175:H423*1.15)*(I175:I423*0.95))</f>
        <v>78537.213925000018</v>
      </c>
      <c r="W175">
        <f>MONTH(Table1[[#This Row],[Date]])</f>
        <v>12</v>
      </c>
    </row>
    <row r="176" spans="1:23" ht="15.75" customHeight="1" x14ac:dyDescent="0.3">
      <c r="A176" s="4" t="s">
        <v>321</v>
      </c>
      <c r="B176" s="5">
        <v>45654</v>
      </c>
      <c r="C176" s="4" t="s">
        <v>122</v>
      </c>
      <c r="D176" s="4" t="s">
        <v>123</v>
      </c>
      <c r="E176" s="4" t="s">
        <v>128</v>
      </c>
      <c r="F176" s="4" t="s">
        <v>129</v>
      </c>
      <c r="G176" s="4" t="s">
        <v>48</v>
      </c>
      <c r="H176" s="4">
        <v>4</v>
      </c>
      <c r="I176" s="4">
        <v>199.99</v>
      </c>
      <c r="J176" s="4" t="s">
        <v>28</v>
      </c>
      <c r="K176" s="4" t="s">
        <v>23</v>
      </c>
      <c r="L176" s="4" t="s">
        <v>24</v>
      </c>
      <c r="M176" s="5">
        <v>44523</v>
      </c>
      <c r="N176" s="4">
        <v>799.96</v>
      </c>
      <c r="O176" s="7">
        <f t="shared" ca="1" si="10"/>
        <v>46084.816637962962</v>
      </c>
      <c r="P176" s="8">
        <f t="shared" ca="1" si="11"/>
        <v>46084.816637962962</v>
      </c>
      <c r="Q176">
        <f t="shared" si="12"/>
        <v>71287.630000000019</v>
      </c>
      <c r="R176">
        <f t="shared" si="13"/>
        <v>4.8</v>
      </c>
      <c r="S176">
        <f t="shared" si="14"/>
        <v>959.952</v>
      </c>
      <c r="T176" cm="1">
        <f t="array" ref="T176">SUMPRODUCT(H176:H424*1.2, I176:I424)</f>
        <v>85545.155999999988</v>
      </c>
      <c r="U176" cm="1">
        <f t="array" ref="U176">SUMPRODUCT(H176:H424, I176:I424*0.9)</f>
        <v>64158.867000000049</v>
      </c>
      <c r="V176" cm="1">
        <f t="array" ref="V176">SUMPRODUCT((H176:H424*1.15)*(I176:I424*0.95))</f>
        <v>77881.735775000023</v>
      </c>
      <c r="W176">
        <f>MONTH(Table1[[#This Row],[Date]])</f>
        <v>12</v>
      </c>
    </row>
    <row r="177" spans="1:23" ht="15.75" customHeight="1" x14ac:dyDescent="0.3">
      <c r="A177" s="4" t="s">
        <v>322</v>
      </c>
      <c r="B177" s="5">
        <v>45655</v>
      </c>
      <c r="C177" s="4" t="s">
        <v>61</v>
      </c>
      <c r="D177" s="4" t="s">
        <v>62</v>
      </c>
      <c r="E177" s="4" t="s">
        <v>119</v>
      </c>
      <c r="F177" s="4" t="s">
        <v>120</v>
      </c>
      <c r="G177" s="4" t="s">
        <v>21</v>
      </c>
      <c r="H177" s="4">
        <v>1</v>
      </c>
      <c r="I177" s="4">
        <v>89.99</v>
      </c>
      <c r="J177" s="4" t="s">
        <v>28</v>
      </c>
      <c r="K177" s="4" t="s">
        <v>37</v>
      </c>
      <c r="L177" s="4" t="s">
        <v>29</v>
      </c>
      <c r="M177" s="5">
        <v>44591</v>
      </c>
      <c r="N177" s="4">
        <v>89.99</v>
      </c>
      <c r="O177" s="7">
        <f t="shared" ca="1" si="10"/>
        <v>46084.816637962962</v>
      </c>
      <c r="P177" s="8">
        <f t="shared" ca="1" si="11"/>
        <v>46084.816637962962</v>
      </c>
      <c r="Q177">
        <f t="shared" si="12"/>
        <v>70487.670000000013</v>
      </c>
      <c r="R177">
        <f t="shared" si="13"/>
        <v>1.2</v>
      </c>
      <c r="S177">
        <f t="shared" si="14"/>
        <v>107.98799999999999</v>
      </c>
      <c r="T177" cm="1">
        <f t="array" ref="T177">SUMPRODUCT(H177:H425*1.2, I177:I425)</f>
        <v>84585.203999999969</v>
      </c>
      <c r="U177" cm="1">
        <f t="array" ref="U177">SUMPRODUCT(H177:H425, I177:I425*0.9)</f>
        <v>63438.903000000057</v>
      </c>
      <c r="V177" cm="1">
        <f t="array" ref="V177">SUMPRODUCT((H177:H425*1.15)*(I177:I425*0.95))</f>
        <v>77007.779475000032</v>
      </c>
      <c r="W177">
        <f>MONTH(Table1[[#This Row],[Date]])</f>
        <v>12</v>
      </c>
    </row>
    <row r="178" spans="1:23" ht="15.75" customHeight="1" x14ac:dyDescent="0.3">
      <c r="A178" s="4" t="s">
        <v>323</v>
      </c>
      <c r="B178" s="5">
        <v>45655</v>
      </c>
      <c r="C178" s="4" t="s">
        <v>110</v>
      </c>
      <c r="D178" s="4" t="s">
        <v>111</v>
      </c>
      <c r="E178" s="4" t="s">
        <v>46</v>
      </c>
      <c r="F178" s="4" t="s">
        <v>47</v>
      </c>
      <c r="G178" s="4" t="s">
        <v>48</v>
      </c>
      <c r="H178" s="4">
        <v>5</v>
      </c>
      <c r="I178" s="4">
        <v>149.99</v>
      </c>
      <c r="J178" s="4" t="s">
        <v>22</v>
      </c>
      <c r="K178" s="4" t="s">
        <v>23</v>
      </c>
      <c r="L178" s="4" t="s">
        <v>29</v>
      </c>
      <c r="M178" s="5">
        <v>45347</v>
      </c>
      <c r="N178" s="4">
        <v>749.95</v>
      </c>
      <c r="O178" s="7">
        <f t="shared" ca="1" si="10"/>
        <v>46084.816637962962</v>
      </c>
      <c r="P178" s="8">
        <f t="shared" ca="1" si="11"/>
        <v>46084.816637962962</v>
      </c>
      <c r="Q178">
        <f t="shared" si="12"/>
        <v>70397.680000000008</v>
      </c>
      <c r="R178">
        <f t="shared" si="13"/>
        <v>6</v>
      </c>
      <c r="S178">
        <f t="shared" si="14"/>
        <v>899.94</v>
      </c>
      <c r="T178" cm="1">
        <f t="array" ref="T178">SUMPRODUCT(H178:H426*1.2, I178:I426)</f>
        <v>84477.215999999986</v>
      </c>
      <c r="U178" cm="1">
        <f t="array" ref="U178">SUMPRODUCT(H178:H426, I178:I426*0.9)</f>
        <v>63357.912000000048</v>
      </c>
      <c r="V178" cm="1">
        <f t="array" ref="V178">SUMPRODUCT((H178:H426*1.15)*(I178:I426*0.95))</f>
        <v>76909.46540000003</v>
      </c>
      <c r="W178">
        <f>MONTH(Table1[[#This Row],[Date]])</f>
        <v>12</v>
      </c>
    </row>
    <row r="179" spans="1:23" ht="15.75" customHeight="1" x14ac:dyDescent="0.3">
      <c r="A179" s="4" t="s">
        <v>324</v>
      </c>
      <c r="B179" s="5">
        <v>45657</v>
      </c>
      <c r="C179" s="4" t="s">
        <v>88</v>
      </c>
      <c r="D179" s="4" t="s">
        <v>89</v>
      </c>
      <c r="E179" s="4" t="s">
        <v>63</v>
      </c>
      <c r="F179" s="4" t="s">
        <v>64</v>
      </c>
      <c r="G179" s="4" t="s">
        <v>21</v>
      </c>
      <c r="H179" s="4">
        <v>1</v>
      </c>
      <c r="I179" s="4">
        <v>899.99</v>
      </c>
      <c r="J179" s="4" t="s">
        <v>36</v>
      </c>
      <c r="K179" s="4" t="s">
        <v>42</v>
      </c>
      <c r="L179" s="4" t="s">
        <v>29</v>
      </c>
      <c r="M179" s="5">
        <v>45050</v>
      </c>
      <c r="N179" s="4">
        <v>899.99</v>
      </c>
      <c r="O179" s="7">
        <f t="shared" ca="1" si="10"/>
        <v>46084.816637962962</v>
      </c>
      <c r="P179" s="8">
        <f t="shared" ca="1" si="11"/>
        <v>46084.816637962962</v>
      </c>
      <c r="Q179">
        <f t="shared" si="12"/>
        <v>69647.73000000001</v>
      </c>
      <c r="R179">
        <f t="shared" si="13"/>
        <v>1.2</v>
      </c>
      <c r="S179">
        <f t="shared" si="14"/>
        <v>1079.9880000000001</v>
      </c>
      <c r="T179" cm="1">
        <f t="array" ref="T179">SUMPRODUCT(H179:H427*1.2, I179:I427)</f>
        <v>83577.276000000013</v>
      </c>
      <c r="U179" cm="1">
        <f t="array" ref="U179">SUMPRODUCT(H179:H427, I179:I427*0.9)</f>
        <v>62682.957000000046</v>
      </c>
      <c r="V179" cm="1">
        <f t="array" ref="V179">SUMPRODUCT((H179:H427*1.15)*(I179:I427*0.95))</f>
        <v>76090.14502500002</v>
      </c>
      <c r="W179">
        <f>MONTH(Table1[[#This Row],[Date]])</f>
        <v>12</v>
      </c>
    </row>
    <row r="180" spans="1:23" ht="15.75" customHeight="1" x14ac:dyDescent="0.3">
      <c r="A180" s="4" t="s">
        <v>325</v>
      </c>
      <c r="B180" s="5">
        <v>45660</v>
      </c>
      <c r="C180" s="4" t="s">
        <v>149</v>
      </c>
      <c r="D180" s="4" t="s">
        <v>150</v>
      </c>
      <c r="E180" s="4" t="s">
        <v>119</v>
      </c>
      <c r="F180" s="4" t="s">
        <v>120</v>
      </c>
      <c r="G180" s="4" t="s">
        <v>21</v>
      </c>
      <c r="H180" s="4">
        <v>2</v>
      </c>
      <c r="I180" s="4">
        <v>89.99</v>
      </c>
      <c r="J180" s="4" t="s">
        <v>28</v>
      </c>
      <c r="K180" s="4" t="s">
        <v>37</v>
      </c>
      <c r="L180" s="4" t="s">
        <v>29</v>
      </c>
      <c r="M180" s="5">
        <v>44564</v>
      </c>
      <c r="N180" s="4">
        <v>179.98</v>
      </c>
      <c r="O180" s="7">
        <f t="shared" ca="1" si="10"/>
        <v>46084.816637962962</v>
      </c>
      <c r="P180" s="8">
        <f t="shared" ca="1" si="11"/>
        <v>46084.816637962962</v>
      </c>
      <c r="Q180">
        <f t="shared" si="12"/>
        <v>68747.74000000002</v>
      </c>
      <c r="R180">
        <f t="shared" si="13"/>
        <v>2.4</v>
      </c>
      <c r="S180">
        <f t="shared" si="14"/>
        <v>215.97599999999997</v>
      </c>
      <c r="T180" cm="1">
        <f t="array" ref="T180">SUMPRODUCT(H180:H428*1.2, I180:I428)</f>
        <v>82497.288</v>
      </c>
      <c r="U180" cm="1">
        <f t="array" ref="U180">SUMPRODUCT(H180:H428, I180:I428*0.9)</f>
        <v>61872.966000000051</v>
      </c>
      <c r="V180" cm="1">
        <f t="array" ref="V180">SUMPRODUCT((H180:H428*1.15)*(I180:I428*0.95))</f>
        <v>75106.905950000029</v>
      </c>
      <c r="W180">
        <f>MONTH(Table1[[#This Row],[Date]])</f>
        <v>1</v>
      </c>
    </row>
    <row r="181" spans="1:23" ht="15.75" customHeight="1" x14ac:dyDescent="0.3">
      <c r="A181" s="4" t="s">
        <v>326</v>
      </c>
      <c r="B181" s="5">
        <v>45661</v>
      </c>
      <c r="C181" s="4" t="s">
        <v>327</v>
      </c>
      <c r="D181" s="4" t="s">
        <v>328</v>
      </c>
      <c r="E181" s="4" t="s">
        <v>63</v>
      </c>
      <c r="F181" s="4" t="s">
        <v>64</v>
      </c>
      <c r="G181" s="4" t="s">
        <v>21</v>
      </c>
      <c r="H181" s="4">
        <v>1</v>
      </c>
      <c r="I181" s="4">
        <v>899.99</v>
      </c>
      <c r="J181" s="4" t="s">
        <v>36</v>
      </c>
      <c r="K181" s="4" t="s">
        <v>42</v>
      </c>
      <c r="L181" s="4" t="s">
        <v>38</v>
      </c>
      <c r="M181" s="5">
        <v>44752</v>
      </c>
      <c r="N181" s="4">
        <v>899.99</v>
      </c>
      <c r="O181" s="7">
        <f t="shared" ca="1" si="10"/>
        <v>46084.816637962962</v>
      </c>
      <c r="P181" s="8">
        <f t="shared" ca="1" si="11"/>
        <v>46084.816637962962</v>
      </c>
      <c r="Q181">
        <f t="shared" si="12"/>
        <v>68567.760000000009</v>
      </c>
      <c r="R181">
        <f t="shared" si="13"/>
        <v>1.2</v>
      </c>
      <c r="S181">
        <f t="shared" si="14"/>
        <v>1079.9880000000001</v>
      </c>
      <c r="T181" cm="1">
        <f t="array" ref="T181">SUMPRODUCT(H181:H429*1.2, I181:I429)</f>
        <v>82281.312000000005</v>
      </c>
      <c r="U181" cm="1">
        <f t="array" ref="U181">SUMPRODUCT(H181:H429, I181:I429*0.9)</f>
        <v>61710.984000000048</v>
      </c>
      <c r="V181" cm="1">
        <f t="array" ref="V181">SUMPRODUCT((H181:H429*1.15)*(I181:I429*0.95))</f>
        <v>74910.277800000025</v>
      </c>
      <c r="W181">
        <f>MONTH(Table1[[#This Row],[Date]])</f>
        <v>1</v>
      </c>
    </row>
    <row r="182" spans="1:23" ht="15.75" customHeight="1" x14ac:dyDescent="0.3">
      <c r="A182" s="4" t="s">
        <v>329</v>
      </c>
      <c r="B182" s="5">
        <v>45663</v>
      </c>
      <c r="C182" s="4" t="s">
        <v>131</v>
      </c>
      <c r="D182" s="4" t="s">
        <v>132</v>
      </c>
      <c r="E182" s="4" t="s">
        <v>54</v>
      </c>
      <c r="F182" s="4" t="s">
        <v>55</v>
      </c>
      <c r="G182" s="4" t="s">
        <v>21</v>
      </c>
      <c r="H182" s="4">
        <v>5</v>
      </c>
      <c r="I182" s="4">
        <v>149.99</v>
      </c>
      <c r="J182" s="4" t="s">
        <v>36</v>
      </c>
      <c r="K182" s="4" t="s">
        <v>65</v>
      </c>
      <c r="L182" s="4" t="s">
        <v>29</v>
      </c>
      <c r="M182" s="5">
        <v>44824</v>
      </c>
      <c r="N182" s="4">
        <v>749.95</v>
      </c>
      <c r="O182" s="7">
        <f t="shared" ca="1" si="10"/>
        <v>46084.816637962962</v>
      </c>
      <c r="P182" s="8">
        <f t="shared" ca="1" si="11"/>
        <v>46084.816637962962</v>
      </c>
      <c r="Q182">
        <f t="shared" si="12"/>
        <v>67667.77</v>
      </c>
      <c r="R182">
        <f t="shared" si="13"/>
        <v>6</v>
      </c>
      <c r="S182">
        <f t="shared" si="14"/>
        <v>899.94</v>
      </c>
      <c r="T182" cm="1">
        <f t="array" ref="T182">SUMPRODUCT(H182:H430*1.2, I182:I430)</f>
        <v>81201.323999999993</v>
      </c>
      <c r="U182" cm="1">
        <f t="array" ref="U182">SUMPRODUCT(H182:H430, I182:I430*0.9)</f>
        <v>60900.993000000053</v>
      </c>
      <c r="V182" cm="1">
        <f t="array" ref="V182">SUMPRODUCT((H182:H430*1.15)*(I182:I430*0.95))</f>
        <v>73927.038725000035</v>
      </c>
      <c r="W182">
        <f>MONTH(Table1[[#This Row],[Date]])</f>
        <v>1</v>
      </c>
    </row>
    <row r="183" spans="1:23" ht="15.75" customHeight="1" x14ac:dyDescent="0.3">
      <c r="A183" s="4" t="s">
        <v>330</v>
      </c>
      <c r="B183" s="5">
        <v>45663</v>
      </c>
      <c r="C183" s="4" t="s">
        <v>44</v>
      </c>
      <c r="D183" s="4" t="s">
        <v>45</v>
      </c>
      <c r="E183" s="4" t="s">
        <v>107</v>
      </c>
      <c r="F183" s="4" t="s">
        <v>108</v>
      </c>
      <c r="G183" s="4" t="s">
        <v>48</v>
      </c>
      <c r="H183" s="4">
        <v>3</v>
      </c>
      <c r="I183" s="4">
        <v>299.99</v>
      </c>
      <c r="J183" s="4" t="s">
        <v>22</v>
      </c>
      <c r="K183" s="4" t="s">
        <v>37</v>
      </c>
      <c r="L183" s="4" t="s">
        <v>38</v>
      </c>
      <c r="M183" s="5">
        <v>44422</v>
      </c>
      <c r="N183" s="4">
        <v>899.97</v>
      </c>
      <c r="O183" s="7">
        <f t="shared" ca="1" si="10"/>
        <v>46084.816637962962</v>
      </c>
      <c r="P183" s="8">
        <f t="shared" ca="1" si="11"/>
        <v>46084.816637962962</v>
      </c>
      <c r="Q183">
        <f t="shared" si="12"/>
        <v>66917.820000000007</v>
      </c>
      <c r="R183">
        <f t="shared" si="13"/>
        <v>3.5999999999999996</v>
      </c>
      <c r="S183">
        <f t="shared" si="14"/>
        <v>1079.9639999999999</v>
      </c>
      <c r="T183" cm="1">
        <f t="array" ref="T183">SUMPRODUCT(H183:H431*1.2, I183:I431)</f>
        <v>80301.383999999991</v>
      </c>
      <c r="U183" cm="1">
        <f t="array" ref="U183">SUMPRODUCT(H183:H431, I183:I431*0.9)</f>
        <v>60226.038000000051</v>
      </c>
      <c r="V183" cm="1">
        <f t="array" ref="V183">SUMPRODUCT((H183:H431*1.15)*(I183:I431*0.95))</f>
        <v>73107.718350000025</v>
      </c>
      <c r="W183">
        <f>MONTH(Table1[[#This Row],[Date]])</f>
        <v>1</v>
      </c>
    </row>
    <row r="184" spans="1:23" ht="15.75" customHeight="1" x14ac:dyDescent="0.3">
      <c r="A184" s="4" t="s">
        <v>331</v>
      </c>
      <c r="B184" s="5">
        <v>45666</v>
      </c>
      <c r="C184" s="4" t="s">
        <v>67</v>
      </c>
      <c r="D184" s="4" t="s">
        <v>68</v>
      </c>
      <c r="E184" s="4" t="s">
        <v>82</v>
      </c>
      <c r="F184" s="4" t="s">
        <v>83</v>
      </c>
      <c r="G184" s="4" t="s">
        <v>21</v>
      </c>
      <c r="H184" s="4">
        <v>3</v>
      </c>
      <c r="I184" s="4">
        <v>699.99</v>
      </c>
      <c r="J184" s="4" t="s">
        <v>28</v>
      </c>
      <c r="K184" s="4" t="s">
        <v>23</v>
      </c>
      <c r="L184" s="4" t="s">
        <v>29</v>
      </c>
      <c r="M184" s="5">
        <v>45105</v>
      </c>
      <c r="N184" s="4">
        <v>2099.9699999999998</v>
      </c>
      <c r="O184" s="7">
        <f t="shared" ca="1" si="10"/>
        <v>46084.816637962962</v>
      </c>
      <c r="P184" s="8">
        <f t="shared" ca="1" si="11"/>
        <v>46084.816637962962</v>
      </c>
      <c r="Q184">
        <f t="shared" si="12"/>
        <v>66017.850000000006</v>
      </c>
      <c r="R184">
        <f t="shared" si="13"/>
        <v>3.5999999999999996</v>
      </c>
      <c r="S184">
        <f t="shared" si="14"/>
        <v>2519.9639999999999</v>
      </c>
      <c r="T184" cm="1">
        <f t="array" ref="T184">SUMPRODUCT(H184:H432*1.2, I184:I432)</f>
        <v>79221.419999999984</v>
      </c>
      <c r="U184" cm="1">
        <f t="array" ref="U184">SUMPRODUCT(H184:H432, I184:I432*0.9)</f>
        <v>59416.065000000053</v>
      </c>
      <c r="V184" cm="1">
        <f t="array" ref="V184">SUMPRODUCT((H184:H432*1.15)*(I184:I432*0.95))</f>
        <v>72124.501125000024</v>
      </c>
      <c r="W184">
        <f>MONTH(Table1[[#This Row],[Date]])</f>
        <v>1</v>
      </c>
    </row>
    <row r="185" spans="1:23" ht="15.75" customHeight="1" x14ac:dyDescent="0.3">
      <c r="A185" s="4" t="s">
        <v>332</v>
      </c>
      <c r="B185" s="5">
        <v>45667</v>
      </c>
      <c r="C185" s="4" t="s">
        <v>110</v>
      </c>
      <c r="D185" s="4" t="s">
        <v>111</v>
      </c>
      <c r="E185" s="4" t="s">
        <v>128</v>
      </c>
      <c r="F185" s="4" t="s">
        <v>129</v>
      </c>
      <c r="G185" s="4" t="s">
        <v>48</v>
      </c>
      <c r="H185" s="4">
        <v>5</v>
      </c>
      <c r="I185" s="4">
        <v>199.99</v>
      </c>
      <c r="J185" s="4" t="s">
        <v>36</v>
      </c>
      <c r="K185" s="4" t="s">
        <v>23</v>
      </c>
      <c r="L185" s="4" t="s">
        <v>38</v>
      </c>
      <c r="M185" s="5">
        <v>44633</v>
      </c>
      <c r="N185" s="4">
        <v>999.95</v>
      </c>
      <c r="O185" s="7">
        <f t="shared" ca="1" si="10"/>
        <v>46084.816637962962</v>
      </c>
      <c r="P185" s="8">
        <f t="shared" ca="1" si="11"/>
        <v>46084.816637962962</v>
      </c>
      <c r="Q185">
        <f t="shared" si="12"/>
        <v>63917.880000000019</v>
      </c>
      <c r="R185">
        <f t="shared" si="13"/>
        <v>6</v>
      </c>
      <c r="S185">
        <f t="shared" si="14"/>
        <v>1199.94</v>
      </c>
      <c r="T185" cm="1">
        <f t="array" ref="T185">SUMPRODUCT(H185:H433*1.2, I185:I433)</f>
        <v>76701.456000000006</v>
      </c>
      <c r="U185" cm="1">
        <f t="array" ref="U185">SUMPRODUCT(H185:H433, I185:I433*0.9)</f>
        <v>57526.092000000055</v>
      </c>
      <c r="V185" cm="1">
        <f t="array" ref="V185">SUMPRODUCT((H185:H433*1.15)*(I185:I433*0.95))</f>
        <v>69830.283900000024</v>
      </c>
      <c r="W185">
        <f>MONTH(Table1[[#This Row],[Date]])</f>
        <v>1</v>
      </c>
    </row>
    <row r="186" spans="1:23" ht="15.75" customHeight="1" x14ac:dyDescent="0.3">
      <c r="A186" s="4" t="s">
        <v>333</v>
      </c>
      <c r="B186" s="5">
        <v>45667</v>
      </c>
      <c r="C186" s="4" t="s">
        <v>95</v>
      </c>
      <c r="D186" s="4" t="s">
        <v>96</v>
      </c>
      <c r="E186" s="4" t="s">
        <v>19</v>
      </c>
      <c r="F186" s="4" t="s">
        <v>20</v>
      </c>
      <c r="G186" s="4" t="s">
        <v>21</v>
      </c>
      <c r="H186" s="4">
        <v>5</v>
      </c>
      <c r="I186" s="4">
        <v>249.99</v>
      </c>
      <c r="J186" s="4" t="s">
        <v>28</v>
      </c>
      <c r="K186" s="4" t="s">
        <v>37</v>
      </c>
      <c r="L186" s="4" t="s">
        <v>24</v>
      </c>
      <c r="M186" s="5">
        <v>45330</v>
      </c>
      <c r="N186" s="4">
        <v>1249.95</v>
      </c>
      <c r="O186" s="7">
        <f t="shared" ca="1" si="10"/>
        <v>46084.816637962962</v>
      </c>
      <c r="P186" s="8">
        <f t="shared" ca="1" si="11"/>
        <v>46084.816637962962</v>
      </c>
      <c r="Q186">
        <f t="shared" si="12"/>
        <v>62917.930000000022</v>
      </c>
      <c r="R186">
        <f t="shared" si="13"/>
        <v>6</v>
      </c>
      <c r="S186">
        <f t="shared" si="14"/>
        <v>1499.94</v>
      </c>
      <c r="T186" cm="1">
        <f t="array" ref="T186">SUMPRODUCT(H186:H434*1.2, I186:I434)</f>
        <v>75501.515999999974</v>
      </c>
      <c r="U186" cm="1">
        <f t="array" ref="U186">SUMPRODUCT(H186:H434, I186:I434*0.9)</f>
        <v>56626.137000000039</v>
      </c>
      <c r="V186" cm="1">
        <f t="array" ref="V186">SUMPRODUCT((H186:H434*1.15)*(I186:I434*0.95))</f>
        <v>68737.838525000014</v>
      </c>
      <c r="W186">
        <f>MONTH(Table1[[#This Row],[Date]])</f>
        <v>1</v>
      </c>
    </row>
    <row r="187" spans="1:23" ht="15.75" customHeight="1" x14ac:dyDescent="0.3">
      <c r="A187" s="4" t="s">
        <v>334</v>
      </c>
      <c r="B187" s="5">
        <v>45668</v>
      </c>
      <c r="C187" s="4" t="s">
        <v>140</v>
      </c>
      <c r="D187" s="4" t="s">
        <v>141</v>
      </c>
      <c r="E187" s="4" t="s">
        <v>54</v>
      </c>
      <c r="F187" s="4" t="s">
        <v>55</v>
      </c>
      <c r="G187" s="4" t="s">
        <v>21</v>
      </c>
      <c r="H187" s="4">
        <v>4</v>
      </c>
      <c r="I187" s="4">
        <v>149.99</v>
      </c>
      <c r="J187" s="4" t="s">
        <v>59</v>
      </c>
      <c r="K187" s="4" t="s">
        <v>65</v>
      </c>
      <c r="L187" s="4" t="s">
        <v>38</v>
      </c>
      <c r="M187" s="5">
        <v>44536</v>
      </c>
      <c r="N187" s="4">
        <v>599.96</v>
      </c>
      <c r="O187" s="7">
        <f t="shared" ca="1" si="10"/>
        <v>46084.816637962962</v>
      </c>
      <c r="P187" s="8">
        <f t="shared" ca="1" si="11"/>
        <v>46084.816637962962</v>
      </c>
      <c r="Q187">
        <f t="shared" si="12"/>
        <v>61667.980000000032</v>
      </c>
      <c r="R187">
        <f t="shared" si="13"/>
        <v>4.8</v>
      </c>
      <c r="S187">
        <f t="shared" si="14"/>
        <v>719.952</v>
      </c>
      <c r="T187" cm="1">
        <f t="array" ref="T187">SUMPRODUCT(H187:H435*1.2, I187:I435)</f>
        <v>74001.575999999972</v>
      </c>
      <c r="U187" cm="1">
        <f t="array" ref="U187">SUMPRODUCT(H187:H435, I187:I435*0.9)</f>
        <v>55501.182000000037</v>
      </c>
      <c r="V187" cm="1">
        <f t="array" ref="V187">SUMPRODUCT((H187:H435*1.15)*(I187:I435*0.95))</f>
        <v>67372.268150000018</v>
      </c>
      <c r="W187">
        <f>MONTH(Table1[[#This Row],[Date]])</f>
        <v>1</v>
      </c>
    </row>
    <row r="188" spans="1:23" ht="15.75" customHeight="1" x14ac:dyDescent="0.3">
      <c r="A188" s="4" t="s">
        <v>335</v>
      </c>
      <c r="B188" s="5">
        <v>45668</v>
      </c>
      <c r="C188" s="4" t="s">
        <v>80</v>
      </c>
      <c r="D188" s="4" t="s">
        <v>81</v>
      </c>
      <c r="E188" s="4" t="s">
        <v>82</v>
      </c>
      <c r="F188" s="4" t="s">
        <v>83</v>
      </c>
      <c r="G188" s="4" t="s">
        <v>21</v>
      </c>
      <c r="H188" s="4">
        <v>3</v>
      </c>
      <c r="I188" s="4">
        <v>699.99</v>
      </c>
      <c r="J188" s="4" t="s">
        <v>22</v>
      </c>
      <c r="K188" s="4" t="s">
        <v>42</v>
      </c>
      <c r="L188" s="4" t="s">
        <v>29</v>
      </c>
      <c r="M188" s="5">
        <v>44602</v>
      </c>
      <c r="N188" s="4">
        <v>2099.9699999999998</v>
      </c>
      <c r="O188" s="7">
        <f t="shared" ca="1" si="10"/>
        <v>46084.816637962962</v>
      </c>
      <c r="P188" s="8">
        <f t="shared" ca="1" si="11"/>
        <v>46084.816637962962</v>
      </c>
      <c r="Q188">
        <f t="shared" si="12"/>
        <v>61068.020000000033</v>
      </c>
      <c r="R188">
        <f t="shared" si="13"/>
        <v>3.5999999999999996</v>
      </c>
      <c r="S188">
        <f t="shared" si="14"/>
        <v>2519.9639999999999</v>
      </c>
      <c r="T188" cm="1">
        <f t="array" ref="T188">SUMPRODUCT(H188:H436*1.2, I188:I436)</f>
        <v>73281.623999999982</v>
      </c>
      <c r="U188" cm="1">
        <f t="array" ref="U188">SUMPRODUCT(H188:H436, I188:I436*0.9)</f>
        <v>54961.21800000003</v>
      </c>
      <c r="V188" cm="1">
        <f t="array" ref="V188">SUMPRODUCT((H188:H436*1.15)*(I188:I436*0.95))</f>
        <v>66716.811850000027</v>
      </c>
      <c r="W188">
        <f>MONTH(Table1[[#This Row],[Date]])</f>
        <v>1</v>
      </c>
    </row>
    <row r="189" spans="1:23" ht="15.75" customHeight="1" x14ac:dyDescent="0.3">
      <c r="A189" s="4" t="s">
        <v>336</v>
      </c>
      <c r="B189" s="5">
        <v>45670</v>
      </c>
      <c r="C189" s="4" t="s">
        <v>295</v>
      </c>
      <c r="D189" s="4" t="s">
        <v>296</v>
      </c>
      <c r="E189" s="4" t="s">
        <v>116</v>
      </c>
      <c r="F189" s="4" t="s">
        <v>117</v>
      </c>
      <c r="G189" s="4" t="s">
        <v>35</v>
      </c>
      <c r="H189" s="4">
        <v>1</v>
      </c>
      <c r="I189" s="4">
        <v>79.989999999999995</v>
      </c>
      <c r="J189" s="4" t="s">
        <v>28</v>
      </c>
      <c r="K189" s="4" t="s">
        <v>37</v>
      </c>
      <c r="L189" s="4" t="s">
        <v>24</v>
      </c>
      <c r="M189" s="5">
        <v>45322</v>
      </c>
      <c r="N189" s="4">
        <v>79.989999999999995</v>
      </c>
      <c r="O189" s="7">
        <f t="shared" ca="1" si="10"/>
        <v>46084.816637962962</v>
      </c>
      <c r="P189" s="8">
        <f t="shared" ca="1" si="11"/>
        <v>46084.816637962962</v>
      </c>
      <c r="Q189">
        <f t="shared" si="12"/>
        <v>58968.050000000017</v>
      </c>
      <c r="R189">
        <f t="shared" si="13"/>
        <v>1.2</v>
      </c>
      <c r="S189">
        <f t="shared" si="14"/>
        <v>95.987999999999985</v>
      </c>
      <c r="T189" cm="1">
        <f t="array" ref="T189">SUMPRODUCT(H189:H437*1.2, I189:I437)</f>
        <v>70761.66</v>
      </c>
      <c r="U189" cm="1">
        <f t="array" ref="U189">SUMPRODUCT(H189:H437, I189:I437*0.9)</f>
        <v>53071.245000000017</v>
      </c>
      <c r="V189" cm="1">
        <f t="array" ref="V189">SUMPRODUCT((H189:H437*1.15)*(I189:I437*0.95))</f>
        <v>64422.59462500002</v>
      </c>
      <c r="W189">
        <f>MONTH(Table1[[#This Row],[Date]])</f>
        <v>1</v>
      </c>
    </row>
    <row r="190" spans="1:23" ht="15.75" customHeight="1" x14ac:dyDescent="0.3">
      <c r="A190" s="4" t="s">
        <v>337</v>
      </c>
      <c r="B190" s="5">
        <v>45670</v>
      </c>
      <c r="C190" s="4" t="s">
        <v>88</v>
      </c>
      <c r="D190" s="4" t="s">
        <v>89</v>
      </c>
      <c r="E190" s="4" t="s">
        <v>107</v>
      </c>
      <c r="F190" s="4" t="s">
        <v>108</v>
      </c>
      <c r="G190" s="4" t="s">
        <v>48</v>
      </c>
      <c r="H190" s="4">
        <v>1</v>
      </c>
      <c r="I190" s="4">
        <v>299.99</v>
      </c>
      <c r="J190" s="4" t="s">
        <v>28</v>
      </c>
      <c r="K190" s="4" t="s">
        <v>42</v>
      </c>
      <c r="L190" s="4" t="s">
        <v>24</v>
      </c>
      <c r="M190" s="5">
        <v>44436</v>
      </c>
      <c r="N190" s="4">
        <v>299.99</v>
      </c>
      <c r="O190" s="7">
        <f t="shared" ca="1" si="10"/>
        <v>46084.816637962962</v>
      </c>
      <c r="P190" s="8">
        <f t="shared" ca="1" si="11"/>
        <v>46084.816637962962</v>
      </c>
      <c r="Q190">
        <f t="shared" si="12"/>
        <v>58888.060000000019</v>
      </c>
      <c r="R190">
        <f t="shared" si="13"/>
        <v>1.2</v>
      </c>
      <c r="S190">
        <f t="shared" si="14"/>
        <v>359.988</v>
      </c>
      <c r="T190" cm="1">
        <f t="array" ref="T190">SUMPRODUCT(H190:H438*1.2, I190:I438)</f>
        <v>70665.671999999991</v>
      </c>
      <c r="U190" cm="1">
        <f t="array" ref="U190">SUMPRODUCT(H190:H438, I190:I438*0.9)</f>
        <v>52999.254000000023</v>
      </c>
      <c r="V190" cm="1">
        <f t="array" ref="V190">SUMPRODUCT((H190:H438*1.15)*(I190:I438*0.95))</f>
        <v>64335.205550000021</v>
      </c>
      <c r="W190">
        <f>MONTH(Table1[[#This Row],[Date]])</f>
        <v>1</v>
      </c>
    </row>
    <row r="191" spans="1:23" ht="15.75" customHeight="1" x14ac:dyDescent="0.3">
      <c r="A191" s="4" t="s">
        <v>338</v>
      </c>
      <c r="B191" s="5">
        <v>45671</v>
      </c>
      <c r="C191" s="4" t="s">
        <v>160</v>
      </c>
      <c r="D191" s="4" t="s">
        <v>161</v>
      </c>
      <c r="E191" s="4" t="s">
        <v>19</v>
      </c>
      <c r="F191" s="4" t="s">
        <v>20</v>
      </c>
      <c r="G191" s="4" t="s">
        <v>21</v>
      </c>
      <c r="H191" s="4">
        <v>4</v>
      </c>
      <c r="I191" s="4">
        <v>249.99</v>
      </c>
      <c r="J191" s="4" t="s">
        <v>28</v>
      </c>
      <c r="K191" s="4" t="s">
        <v>42</v>
      </c>
      <c r="L191" s="4" t="s">
        <v>29</v>
      </c>
      <c r="M191" s="5">
        <v>44460</v>
      </c>
      <c r="N191" s="4">
        <v>999.96</v>
      </c>
      <c r="O191" s="7">
        <f t="shared" ca="1" si="10"/>
        <v>46084.816637962962</v>
      </c>
      <c r="P191" s="8">
        <f t="shared" ca="1" si="11"/>
        <v>46084.816637962962</v>
      </c>
      <c r="Q191">
        <f t="shared" si="12"/>
        <v>58588.070000000014</v>
      </c>
      <c r="R191">
        <f t="shared" si="13"/>
        <v>4.8</v>
      </c>
      <c r="S191">
        <f t="shared" si="14"/>
        <v>1199.952</v>
      </c>
      <c r="T191" cm="1">
        <f t="array" ref="T191">SUMPRODUCT(H191:H439*1.2, I191:I439)</f>
        <v>70305.684000000008</v>
      </c>
      <c r="U191" cm="1">
        <f t="array" ref="U191">SUMPRODUCT(H191:H439, I191:I439*0.9)</f>
        <v>52729.263000000014</v>
      </c>
      <c r="V191" cm="1">
        <f t="array" ref="V191">SUMPRODUCT((H191:H439*1.15)*(I191:I439*0.95))</f>
        <v>64007.466475000016</v>
      </c>
      <c r="W191">
        <f>MONTH(Table1[[#This Row],[Date]])</f>
        <v>1</v>
      </c>
    </row>
    <row r="192" spans="1:23" ht="15.75" customHeight="1" x14ac:dyDescent="0.3">
      <c r="A192" s="4" t="s">
        <v>339</v>
      </c>
      <c r="B192" s="5">
        <v>45671</v>
      </c>
      <c r="C192" s="4" t="s">
        <v>122</v>
      </c>
      <c r="D192" s="4" t="s">
        <v>123</v>
      </c>
      <c r="E192" s="4" t="s">
        <v>54</v>
      </c>
      <c r="F192" s="4" t="s">
        <v>55</v>
      </c>
      <c r="G192" s="4" t="s">
        <v>21</v>
      </c>
      <c r="H192" s="4">
        <v>2</v>
      </c>
      <c r="I192" s="4">
        <v>149.99</v>
      </c>
      <c r="J192" s="4" t="s">
        <v>22</v>
      </c>
      <c r="K192" s="4" t="s">
        <v>42</v>
      </c>
      <c r="L192" s="4" t="s">
        <v>38</v>
      </c>
      <c r="M192" s="5">
        <v>44913</v>
      </c>
      <c r="N192" s="4">
        <v>299.98</v>
      </c>
      <c r="O192" s="7">
        <f t="shared" ca="1" si="10"/>
        <v>46084.816637962962</v>
      </c>
      <c r="P192" s="8">
        <f t="shared" ca="1" si="11"/>
        <v>46084.816637962962</v>
      </c>
      <c r="Q192">
        <f t="shared" si="12"/>
        <v>57588.110000000015</v>
      </c>
      <c r="R192">
        <f t="shared" si="13"/>
        <v>2.4</v>
      </c>
      <c r="S192">
        <f t="shared" si="14"/>
        <v>359.976</v>
      </c>
      <c r="T192" cm="1">
        <f t="array" ref="T192">SUMPRODUCT(H192:H440*1.2, I192:I440)</f>
        <v>69105.731999999989</v>
      </c>
      <c r="U192" cm="1">
        <f t="array" ref="U192">SUMPRODUCT(H192:H440, I192:I440*0.9)</f>
        <v>51829.299000000021</v>
      </c>
      <c r="V192" cm="1">
        <f t="array" ref="V192">SUMPRODUCT((H192:H440*1.15)*(I192:I440*0.95))</f>
        <v>62915.01017500001</v>
      </c>
      <c r="W192">
        <f>MONTH(Table1[[#This Row],[Date]])</f>
        <v>1</v>
      </c>
    </row>
    <row r="193" spans="1:23" ht="15.75" customHeight="1" x14ac:dyDescent="0.3">
      <c r="A193" s="4" t="s">
        <v>340</v>
      </c>
      <c r="B193" s="5">
        <v>45671</v>
      </c>
      <c r="C193" s="4" t="s">
        <v>236</v>
      </c>
      <c r="D193" s="4" t="s">
        <v>237</v>
      </c>
      <c r="E193" s="4" t="s">
        <v>107</v>
      </c>
      <c r="F193" s="4" t="s">
        <v>108</v>
      </c>
      <c r="G193" s="4" t="s">
        <v>48</v>
      </c>
      <c r="H193" s="4">
        <v>3</v>
      </c>
      <c r="I193" s="4">
        <v>299.99</v>
      </c>
      <c r="J193" s="4" t="s">
        <v>28</v>
      </c>
      <c r="K193" s="4" t="s">
        <v>37</v>
      </c>
      <c r="L193" s="4" t="s">
        <v>24</v>
      </c>
      <c r="M193" s="5">
        <v>45204</v>
      </c>
      <c r="N193" s="4">
        <v>899.97</v>
      </c>
      <c r="O193" s="7">
        <f t="shared" ca="1" si="10"/>
        <v>46084.816637962962</v>
      </c>
      <c r="P193" s="8">
        <f t="shared" ca="1" si="11"/>
        <v>46084.816637962962</v>
      </c>
      <c r="Q193">
        <f t="shared" si="12"/>
        <v>57288.130000000019</v>
      </c>
      <c r="R193">
        <f t="shared" si="13"/>
        <v>3.5999999999999996</v>
      </c>
      <c r="S193">
        <f t="shared" si="14"/>
        <v>1079.9639999999999</v>
      </c>
      <c r="T193" cm="1">
        <f t="array" ref="T193">SUMPRODUCT(H193:H441*1.2, I193:I441)</f>
        <v>68745.756000000023</v>
      </c>
      <c r="U193" cm="1">
        <f t="array" ref="U193">SUMPRODUCT(H193:H441, I193:I441*0.9)</f>
        <v>51559.317000000017</v>
      </c>
      <c r="V193" cm="1">
        <f t="array" ref="V193">SUMPRODUCT((H193:H441*1.15)*(I193:I441*0.95))</f>
        <v>62587.282025000008</v>
      </c>
      <c r="W193">
        <f>MONTH(Table1[[#This Row],[Date]])</f>
        <v>1</v>
      </c>
    </row>
    <row r="194" spans="1:23" ht="15.75" customHeight="1" x14ac:dyDescent="0.3">
      <c r="A194" s="4" t="s">
        <v>341</v>
      </c>
      <c r="B194" s="5">
        <v>45673</v>
      </c>
      <c r="C194" s="4" t="s">
        <v>228</v>
      </c>
      <c r="D194" s="4" t="s">
        <v>229</v>
      </c>
      <c r="E194" s="4" t="s">
        <v>128</v>
      </c>
      <c r="F194" s="4" t="s">
        <v>129</v>
      </c>
      <c r="G194" s="4" t="s">
        <v>48</v>
      </c>
      <c r="H194" s="4">
        <v>4</v>
      </c>
      <c r="I194" s="4">
        <v>199.99</v>
      </c>
      <c r="J194" s="4" t="s">
        <v>59</v>
      </c>
      <c r="K194" s="4" t="s">
        <v>37</v>
      </c>
      <c r="L194" s="4" t="s">
        <v>38</v>
      </c>
      <c r="M194" s="5">
        <v>44544</v>
      </c>
      <c r="N194" s="4">
        <v>799.96</v>
      </c>
      <c r="O194" s="7">
        <f t="shared" ref="O194:O251" ca="1" si="15">NOW()</f>
        <v>46084.816637962962</v>
      </c>
      <c r="P194" s="8">
        <f t="shared" ref="P194:P251" ca="1" si="16">IF(A194&lt;&gt;"", IF(O194="", NOW(), O194), "")</f>
        <v>46084.816637962962</v>
      </c>
      <c r="Q194">
        <f t="shared" ref="Q194:Q251" si="17">SUM(N194:N442)</f>
        <v>56388.160000000018</v>
      </c>
      <c r="R194">
        <f t="shared" ref="R194:R251" si="18">H194*1.2</f>
        <v>4.8</v>
      </c>
      <c r="S194">
        <f t="shared" ref="S194:S251" si="19">(H194*1.2)*I194</f>
        <v>959.952</v>
      </c>
      <c r="T194" cm="1">
        <f t="array" ref="T194">SUMPRODUCT(H194:H442*1.2, I194:I442)</f>
        <v>67665.792000000016</v>
      </c>
      <c r="U194" cm="1">
        <f t="array" ref="U194">SUMPRODUCT(H194:H442, I194:I442*0.9)</f>
        <v>50749.344000000019</v>
      </c>
      <c r="V194" cm="1">
        <f t="array" ref="V194">SUMPRODUCT((H194:H442*1.15)*(I194:I442*0.95))</f>
        <v>61604.0648</v>
      </c>
      <c r="W194">
        <f>MONTH(Table1[[#This Row],[Date]])</f>
        <v>1</v>
      </c>
    </row>
    <row r="195" spans="1:23" ht="15.75" customHeight="1" x14ac:dyDescent="0.3">
      <c r="A195" s="4" t="s">
        <v>342</v>
      </c>
      <c r="B195" s="5">
        <v>45673</v>
      </c>
      <c r="C195" s="4" t="s">
        <v>213</v>
      </c>
      <c r="D195" s="4" t="s">
        <v>214</v>
      </c>
      <c r="E195" s="4" t="s">
        <v>107</v>
      </c>
      <c r="F195" s="4" t="s">
        <v>108</v>
      </c>
      <c r="G195" s="4" t="s">
        <v>48</v>
      </c>
      <c r="H195" s="4">
        <v>5</v>
      </c>
      <c r="I195" s="4">
        <v>299.99</v>
      </c>
      <c r="J195" s="4" t="s">
        <v>59</v>
      </c>
      <c r="K195" s="4" t="s">
        <v>23</v>
      </c>
      <c r="L195" s="4" t="s">
        <v>24</v>
      </c>
      <c r="M195" s="5">
        <v>44431</v>
      </c>
      <c r="N195" s="4">
        <v>1499.95</v>
      </c>
      <c r="O195" s="7">
        <f t="shared" ca="1" si="15"/>
        <v>46084.816637962962</v>
      </c>
      <c r="P195" s="8">
        <f t="shared" ca="1" si="16"/>
        <v>46084.816637962962</v>
      </c>
      <c r="Q195">
        <f t="shared" si="17"/>
        <v>55588.200000000019</v>
      </c>
      <c r="R195">
        <f t="shared" si="18"/>
        <v>6</v>
      </c>
      <c r="S195">
        <f t="shared" si="19"/>
        <v>1799.94</v>
      </c>
      <c r="T195" cm="1">
        <f t="array" ref="T195">SUMPRODUCT(H195:H443*1.2, I195:I443)</f>
        <v>66705.840000000026</v>
      </c>
      <c r="U195" cm="1">
        <f t="array" ref="U195">SUMPRODUCT(H195:H443, I195:I443*0.9)</f>
        <v>50029.380000000012</v>
      </c>
      <c r="V195" cm="1">
        <f t="array" ref="V195">SUMPRODUCT((H195:H443*1.15)*(I195:I443*0.95))</f>
        <v>60730.108500000002</v>
      </c>
      <c r="W195">
        <f>MONTH(Table1[[#This Row],[Date]])</f>
        <v>1</v>
      </c>
    </row>
    <row r="196" spans="1:23" ht="15.75" customHeight="1" x14ac:dyDescent="0.3">
      <c r="A196" s="4" t="s">
        <v>343</v>
      </c>
      <c r="B196" s="5">
        <v>45673</v>
      </c>
      <c r="C196" s="4" t="s">
        <v>61</v>
      </c>
      <c r="D196" s="4" t="s">
        <v>62</v>
      </c>
      <c r="E196" s="4" t="s">
        <v>46</v>
      </c>
      <c r="F196" s="4" t="s">
        <v>47</v>
      </c>
      <c r="G196" s="4" t="s">
        <v>48</v>
      </c>
      <c r="H196" s="4">
        <v>3</v>
      </c>
      <c r="I196" s="4">
        <v>149.99</v>
      </c>
      <c r="J196" s="4" t="s">
        <v>28</v>
      </c>
      <c r="K196" s="4" t="s">
        <v>65</v>
      </c>
      <c r="L196" s="4" t="s">
        <v>38</v>
      </c>
      <c r="M196" s="5">
        <v>44395</v>
      </c>
      <c r="N196" s="4">
        <v>449.97</v>
      </c>
      <c r="O196" s="7">
        <f t="shared" ca="1" si="15"/>
        <v>46084.816637962962</v>
      </c>
      <c r="P196" s="8">
        <f t="shared" ca="1" si="16"/>
        <v>46084.816637962962</v>
      </c>
      <c r="Q196">
        <f t="shared" si="17"/>
        <v>54088.250000000015</v>
      </c>
      <c r="R196">
        <f t="shared" si="18"/>
        <v>3.5999999999999996</v>
      </c>
      <c r="S196">
        <f t="shared" si="19"/>
        <v>539.96399999999994</v>
      </c>
      <c r="T196" cm="1">
        <f t="array" ref="T196">SUMPRODUCT(H196:H444*1.2, I196:I444)</f>
        <v>64905.900000000016</v>
      </c>
      <c r="U196" cm="1">
        <f t="array" ref="U196">SUMPRODUCT(H196:H444, I196:I444*0.9)</f>
        <v>48679.42500000001</v>
      </c>
      <c r="V196" cm="1">
        <f t="array" ref="V196">SUMPRODUCT((H196:H444*1.15)*(I196:I444*0.95))</f>
        <v>59091.413125000006</v>
      </c>
      <c r="W196">
        <f>MONTH(Table1[[#This Row],[Date]])</f>
        <v>1</v>
      </c>
    </row>
    <row r="197" spans="1:23" ht="15.75" customHeight="1" x14ac:dyDescent="0.3">
      <c r="A197" s="4" t="s">
        <v>344</v>
      </c>
      <c r="B197" s="5">
        <v>45676</v>
      </c>
      <c r="C197" s="4" t="s">
        <v>131</v>
      </c>
      <c r="D197" s="4" t="s">
        <v>132</v>
      </c>
      <c r="E197" s="4" t="s">
        <v>33</v>
      </c>
      <c r="F197" s="4" t="s">
        <v>34</v>
      </c>
      <c r="G197" s="4" t="s">
        <v>35</v>
      </c>
      <c r="H197" s="4">
        <v>5</v>
      </c>
      <c r="I197" s="4">
        <v>59.99</v>
      </c>
      <c r="J197" s="4" t="s">
        <v>59</v>
      </c>
      <c r="K197" s="4" t="s">
        <v>65</v>
      </c>
      <c r="L197" s="4" t="s">
        <v>24</v>
      </c>
      <c r="M197" s="5">
        <v>44642</v>
      </c>
      <c r="N197" s="4">
        <v>299.95</v>
      </c>
      <c r="O197" s="7">
        <f t="shared" ca="1" si="15"/>
        <v>46084.816637962962</v>
      </c>
      <c r="P197" s="8">
        <f t="shared" ca="1" si="16"/>
        <v>46084.816637962962</v>
      </c>
      <c r="Q197">
        <f t="shared" si="17"/>
        <v>53638.280000000021</v>
      </c>
      <c r="R197">
        <f t="shared" si="18"/>
        <v>6</v>
      </c>
      <c r="S197">
        <f t="shared" si="19"/>
        <v>359.94</v>
      </c>
      <c r="T197" cm="1">
        <f t="array" ref="T197">SUMPRODUCT(H197:H445*1.2, I197:I445)</f>
        <v>64365.936000000009</v>
      </c>
      <c r="U197" cm="1">
        <f t="array" ref="U197">SUMPRODUCT(H197:H445, I197:I445*0.9)</f>
        <v>48274.452000000012</v>
      </c>
      <c r="V197" cm="1">
        <f t="array" ref="V197">SUMPRODUCT((H197:H445*1.15)*(I197:I445*0.95))</f>
        <v>58599.820900000006</v>
      </c>
      <c r="W197">
        <f>MONTH(Table1[[#This Row],[Date]])</f>
        <v>1</v>
      </c>
    </row>
    <row r="198" spans="1:23" ht="15.75" customHeight="1" x14ac:dyDescent="0.3">
      <c r="A198" s="4" t="s">
        <v>345</v>
      </c>
      <c r="B198" s="5">
        <v>45682</v>
      </c>
      <c r="C198" s="4" t="s">
        <v>70</v>
      </c>
      <c r="D198" s="4" t="s">
        <v>71</v>
      </c>
      <c r="E198" s="4" t="s">
        <v>33</v>
      </c>
      <c r="F198" s="4" t="s">
        <v>34</v>
      </c>
      <c r="G198" s="4" t="s">
        <v>35</v>
      </c>
      <c r="H198" s="4">
        <v>4</v>
      </c>
      <c r="I198" s="4">
        <v>59.99</v>
      </c>
      <c r="J198" s="4" t="s">
        <v>59</v>
      </c>
      <c r="K198" s="4" t="s">
        <v>65</v>
      </c>
      <c r="L198" s="4" t="s">
        <v>38</v>
      </c>
      <c r="M198" s="5">
        <v>44564</v>
      </c>
      <c r="N198" s="4">
        <v>239.96</v>
      </c>
      <c r="O198" s="7">
        <f t="shared" ca="1" si="15"/>
        <v>46084.816637962962</v>
      </c>
      <c r="P198" s="8">
        <f t="shared" ca="1" si="16"/>
        <v>46084.816637962962</v>
      </c>
      <c r="Q198">
        <f t="shared" si="17"/>
        <v>53338.330000000016</v>
      </c>
      <c r="R198">
        <f t="shared" si="18"/>
        <v>4.8</v>
      </c>
      <c r="S198">
        <f t="shared" si="19"/>
        <v>287.952</v>
      </c>
      <c r="T198" cm="1">
        <f t="array" ref="T198">SUMPRODUCT(H198:H446*1.2, I198:I446)</f>
        <v>64005.996000000006</v>
      </c>
      <c r="U198" cm="1">
        <f t="array" ref="U198">SUMPRODUCT(H198:H446, I198:I446*0.9)</f>
        <v>48004.49700000001</v>
      </c>
      <c r="V198" cm="1">
        <f t="array" ref="V198">SUMPRODUCT((H198:H446*1.15)*(I198:I446*0.95))</f>
        <v>58272.125525000003</v>
      </c>
      <c r="W198">
        <f>MONTH(Table1[[#This Row],[Date]])</f>
        <v>1</v>
      </c>
    </row>
    <row r="199" spans="1:23" ht="15.75" customHeight="1" x14ac:dyDescent="0.3">
      <c r="A199" s="4" t="s">
        <v>346</v>
      </c>
      <c r="B199" s="5">
        <v>45683</v>
      </c>
      <c r="C199" s="4" t="s">
        <v>50</v>
      </c>
      <c r="D199" s="4" t="s">
        <v>51</v>
      </c>
      <c r="E199" s="4" t="s">
        <v>19</v>
      </c>
      <c r="F199" s="4" t="s">
        <v>20</v>
      </c>
      <c r="G199" s="4" t="s">
        <v>21</v>
      </c>
      <c r="H199" s="4">
        <v>4</v>
      </c>
      <c r="I199" s="4">
        <v>249.99</v>
      </c>
      <c r="J199" s="4" t="s">
        <v>59</v>
      </c>
      <c r="K199" s="4" t="s">
        <v>23</v>
      </c>
      <c r="L199" s="4" t="s">
        <v>29</v>
      </c>
      <c r="M199" s="5">
        <v>45217</v>
      </c>
      <c r="N199" s="4">
        <v>999.96</v>
      </c>
      <c r="O199" s="7">
        <f t="shared" ca="1" si="15"/>
        <v>46084.816637962962</v>
      </c>
      <c r="P199" s="8">
        <f t="shared" ca="1" si="16"/>
        <v>46084.816637962962</v>
      </c>
      <c r="Q199">
        <f t="shared" si="17"/>
        <v>53098.370000000017</v>
      </c>
      <c r="R199">
        <f t="shared" si="18"/>
        <v>4.8</v>
      </c>
      <c r="S199">
        <f t="shared" si="19"/>
        <v>1199.952</v>
      </c>
      <c r="T199" cm="1">
        <f t="array" ref="T199">SUMPRODUCT(H199:H447*1.2, I199:I447)</f>
        <v>63718.044000000009</v>
      </c>
      <c r="U199" cm="1">
        <f t="array" ref="U199">SUMPRODUCT(H199:H447, I199:I447*0.9)</f>
        <v>47788.533000000018</v>
      </c>
      <c r="V199" cm="1">
        <f t="array" ref="V199">SUMPRODUCT((H199:H447*1.15)*(I199:I447*0.95))</f>
        <v>58009.969225000008</v>
      </c>
      <c r="W199">
        <f>MONTH(Table1[[#This Row],[Date]])</f>
        <v>1</v>
      </c>
    </row>
    <row r="200" spans="1:23" ht="15.75" customHeight="1" x14ac:dyDescent="0.3">
      <c r="A200" s="4" t="s">
        <v>347</v>
      </c>
      <c r="B200" s="5">
        <v>45686</v>
      </c>
      <c r="C200" s="4" t="s">
        <v>254</v>
      </c>
      <c r="D200" s="4" t="s">
        <v>255</v>
      </c>
      <c r="E200" s="4" t="s">
        <v>63</v>
      </c>
      <c r="F200" s="4" t="s">
        <v>64</v>
      </c>
      <c r="G200" s="4" t="s">
        <v>21</v>
      </c>
      <c r="H200" s="4">
        <v>4</v>
      </c>
      <c r="I200" s="4">
        <v>899.99</v>
      </c>
      <c r="J200" s="4" t="s">
        <v>36</v>
      </c>
      <c r="K200" s="4" t="s">
        <v>23</v>
      </c>
      <c r="L200" s="4" t="s">
        <v>24</v>
      </c>
      <c r="M200" s="5">
        <v>44734</v>
      </c>
      <c r="N200" s="4">
        <v>3599.96</v>
      </c>
      <c r="O200" s="7">
        <f t="shared" ca="1" si="15"/>
        <v>46084.816637962962</v>
      </c>
      <c r="P200" s="8">
        <f t="shared" ca="1" si="16"/>
        <v>46084.816637962962</v>
      </c>
      <c r="Q200">
        <f t="shared" si="17"/>
        <v>52098.410000000018</v>
      </c>
      <c r="R200">
        <f t="shared" si="18"/>
        <v>4.8</v>
      </c>
      <c r="S200">
        <f t="shared" si="19"/>
        <v>4319.9520000000002</v>
      </c>
      <c r="T200" cm="1">
        <f t="array" ref="T200">SUMPRODUCT(H200:H448*1.2, I200:I448)</f>
        <v>62518.092000000011</v>
      </c>
      <c r="U200" cm="1">
        <f t="array" ref="U200">SUMPRODUCT(H200:H448, I200:I448*0.9)</f>
        <v>46888.56900000001</v>
      </c>
      <c r="V200" cm="1">
        <f t="array" ref="V200">SUMPRODUCT((H200:H448*1.15)*(I200:I448*0.95))</f>
        <v>56917.512925000003</v>
      </c>
      <c r="W200">
        <f>MONTH(Table1[[#This Row],[Date]])</f>
        <v>1</v>
      </c>
    </row>
    <row r="201" spans="1:23" ht="15.75" customHeight="1" x14ac:dyDescent="0.3">
      <c r="A201" s="4" t="s">
        <v>348</v>
      </c>
      <c r="B201" s="5">
        <v>45686</v>
      </c>
      <c r="C201" s="4" t="s">
        <v>88</v>
      </c>
      <c r="D201" s="4" t="s">
        <v>89</v>
      </c>
      <c r="E201" s="4" t="s">
        <v>107</v>
      </c>
      <c r="F201" s="4" t="s">
        <v>108</v>
      </c>
      <c r="G201" s="4" t="s">
        <v>48</v>
      </c>
      <c r="H201" s="4">
        <v>3</v>
      </c>
      <c r="I201" s="4">
        <v>299.99</v>
      </c>
      <c r="J201" s="4" t="s">
        <v>59</v>
      </c>
      <c r="K201" s="4" t="s">
        <v>52</v>
      </c>
      <c r="L201" s="4" t="s">
        <v>38</v>
      </c>
      <c r="M201" s="5">
        <v>44952</v>
      </c>
      <c r="N201" s="4">
        <v>899.97</v>
      </c>
      <c r="O201" s="7">
        <f t="shared" ca="1" si="15"/>
        <v>46084.816637962962</v>
      </c>
      <c r="P201" s="8">
        <f t="shared" ca="1" si="16"/>
        <v>46084.816637962962</v>
      </c>
      <c r="Q201">
        <f t="shared" si="17"/>
        <v>48498.450000000019</v>
      </c>
      <c r="R201">
        <f t="shared" si="18"/>
        <v>3.5999999999999996</v>
      </c>
      <c r="S201">
        <f t="shared" si="19"/>
        <v>1079.9639999999999</v>
      </c>
      <c r="T201" cm="1">
        <f t="array" ref="T201">SUMPRODUCT(H201:H449*1.2, I201:I449)</f>
        <v>58198.14</v>
      </c>
      <c r="U201" cm="1">
        <f t="array" ref="U201">SUMPRODUCT(H201:H449, I201:I449*0.9)</f>
        <v>43648.605000000003</v>
      </c>
      <c r="V201" cm="1">
        <f t="array" ref="V201">SUMPRODUCT((H201:H449*1.15)*(I201:I449*0.95))</f>
        <v>52984.55662499999</v>
      </c>
      <c r="W201">
        <f>MONTH(Table1[[#This Row],[Date]])</f>
        <v>1</v>
      </c>
    </row>
    <row r="202" spans="1:23" ht="15.75" customHeight="1" x14ac:dyDescent="0.3">
      <c r="A202" s="4" t="s">
        <v>349</v>
      </c>
      <c r="B202" s="5">
        <v>45686</v>
      </c>
      <c r="C202" s="4" t="s">
        <v>295</v>
      </c>
      <c r="D202" s="4" t="s">
        <v>296</v>
      </c>
      <c r="E202" s="4" t="s">
        <v>82</v>
      </c>
      <c r="F202" s="4" t="s">
        <v>83</v>
      </c>
      <c r="G202" s="4" t="s">
        <v>21</v>
      </c>
      <c r="H202" s="4">
        <v>2</v>
      </c>
      <c r="I202" s="4">
        <v>699.99</v>
      </c>
      <c r="J202" s="4" t="s">
        <v>59</v>
      </c>
      <c r="K202" s="4" t="s">
        <v>23</v>
      </c>
      <c r="L202" s="4" t="s">
        <v>29</v>
      </c>
      <c r="M202" s="5">
        <v>44681</v>
      </c>
      <c r="N202" s="4">
        <v>1399.98</v>
      </c>
      <c r="O202" s="7">
        <f t="shared" ca="1" si="15"/>
        <v>46084.816637962962</v>
      </c>
      <c r="P202" s="8">
        <f t="shared" ca="1" si="16"/>
        <v>46084.816637962962</v>
      </c>
      <c r="Q202">
        <f t="shared" si="17"/>
        <v>47598.48000000001</v>
      </c>
      <c r="R202">
        <f t="shared" si="18"/>
        <v>2.4</v>
      </c>
      <c r="S202">
        <f t="shared" si="19"/>
        <v>1679.9759999999999</v>
      </c>
      <c r="T202" cm="1">
        <f t="array" ref="T202">SUMPRODUCT(H202:H450*1.2, I202:I450)</f>
        <v>57118.175999999999</v>
      </c>
      <c r="U202" cm="1">
        <f t="array" ref="U202">SUMPRODUCT(H202:H450, I202:I450*0.9)</f>
        <v>42838.632000000005</v>
      </c>
      <c r="V202" cm="1">
        <f t="array" ref="V202">SUMPRODUCT((H202:H450*1.15)*(I202:I450*0.95))</f>
        <v>52001.33939999999</v>
      </c>
      <c r="W202">
        <f>MONTH(Table1[[#This Row],[Date]])</f>
        <v>1</v>
      </c>
    </row>
    <row r="203" spans="1:23" ht="15.75" customHeight="1" x14ac:dyDescent="0.3">
      <c r="A203" s="4" t="s">
        <v>350</v>
      </c>
      <c r="B203" s="5">
        <v>45688</v>
      </c>
      <c r="C203" s="4" t="s">
        <v>67</v>
      </c>
      <c r="D203" s="4" t="s">
        <v>68</v>
      </c>
      <c r="E203" s="4" t="s">
        <v>82</v>
      </c>
      <c r="F203" s="4" t="s">
        <v>83</v>
      </c>
      <c r="G203" s="4" t="s">
        <v>21</v>
      </c>
      <c r="H203" s="4">
        <v>4</v>
      </c>
      <c r="I203" s="4">
        <v>699.99</v>
      </c>
      <c r="J203" s="4" t="s">
        <v>59</v>
      </c>
      <c r="K203" s="4" t="s">
        <v>52</v>
      </c>
      <c r="L203" s="4" t="s">
        <v>29</v>
      </c>
      <c r="M203" s="5">
        <v>44692</v>
      </c>
      <c r="N203" s="4">
        <v>2799.96</v>
      </c>
      <c r="O203" s="7">
        <f t="shared" ca="1" si="15"/>
        <v>46084.816637962962</v>
      </c>
      <c r="P203" s="8">
        <f t="shared" ca="1" si="16"/>
        <v>46084.816637962962</v>
      </c>
      <c r="Q203">
        <f t="shared" si="17"/>
        <v>46198.500000000007</v>
      </c>
      <c r="R203">
        <f t="shared" si="18"/>
        <v>4.8</v>
      </c>
      <c r="S203">
        <f t="shared" si="19"/>
        <v>3359.9519999999998</v>
      </c>
      <c r="T203" cm="1">
        <f t="array" ref="T203">SUMPRODUCT(H203:H451*1.2, I203:I451)</f>
        <v>55438.2</v>
      </c>
      <c r="U203" cm="1">
        <f t="array" ref="U203">SUMPRODUCT(H203:H451, I203:I451*0.9)</f>
        <v>41578.65</v>
      </c>
      <c r="V203" cm="1">
        <f t="array" ref="V203">SUMPRODUCT((H203:H451*1.15)*(I203:I451*0.95))</f>
        <v>50471.861249999994</v>
      </c>
      <c r="W203">
        <f>MONTH(Table1[[#This Row],[Date]])</f>
        <v>1</v>
      </c>
    </row>
    <row r="204" spans="1:23" ht="15.75" customHeight="1" x14ac:dyDescent="0.3">
      <c r="A204" s="4" t="s">
        <v>351</v>
      </c>
      <c r="B204" s="5">
        <v>45688</v>
      </c>
      <c r="C204" s="4" t="s">
        <v>125</v>
      </c>
      <c r="D204" s="4" t="s">
        <v>126</v>
      </c>
      <c r="E204" s="4" t="s">
        <v>119</v>
      </c>
      <c r="F204" s="4" t="s">
        <v>120</v>
      </c>
      <c r="G204" s="4" t="s">
        <v>21</v>
      </c>
      <c r="H204" s="4">
        <v>2</v>
      </c>
      <c r="I204" s="4">
        <v>89.99</v>
      </c>
      <c r="J204" s="4" t="s">
        <v>59</v>
      </c>
      <c r="K204" s="4" t="s">
        <v>37</v>
      </c>
      <c r="L204" s="4" t="s">
        <v>24</v>
      </c>
      <c r="M204" s="5">
        <v>44777</v>
      </c>
      <c r="N204" s="4">
        <v>179.98</v>
      </c>
      <c r="O204" s="7">
        <f t="shared" ca="1" si="15"/>
        <v>46084.816637962962</v>
      </c>
      <c r="P204" s="8">
        <f t="shared" ca="1" si="16"/>
        <v>46084.816637962962</v>
      </c>
      <c r="Q204">
        <f t="shared" si="17"/>
        <v>43398.540000000008</v>
      </c>
      <c r="R204">
        <f t="shared" si="18"/>
        <v>2.4</v>
      </c>
      <c r="S204">
        <f t="shared" si="19"/>
        <v>215.97599999999997</v>
      </c>
      <c r="T204" cm="1">
        <f t="array" ref="T204">SUMPRODUCT(H204:H452*1.2, I204:I452)</f>
        <v>52078.248</v>
      </c>
      <c r="U204" cm="1">
        <f t="array" ref="U204">SUMPRODUCT(H204:H452, I204:I452*0.9)</f>
        <v>39058.686000000009</v>
      </c>
      <c r="V204" cm="1">
        <f t="array" ref="V204">SUMPRODUCT((H204:H452*1.15)*(I204:I452*0.95))</f>
        <v>47412.904949999989</v>
      </c>
      <c r="W204">
        <f>MONTH(Table1[[#This Row],[Date]])</f>
        <v>1</v>
      </c>
    </row>
    <row r="205" spans="1:23" ht="15.75" customHeight="1" x14ac:dyDescent="0.3">
      <c r="A205" s="4" t="s">
        <v>352</v>
      </c>
      <c r="B205" s="5">
        <v>45688</v>
      </c>
      <c r="C205" s="4" t="s">
        <v>44</v>
      </c>
      <c r="D205" s="4" t="s">
        <v>45</v>
      </c>
      <c r="E205" s="4" t="s">
        <v>119</v>
      </c>
      <c r="F205" s="4" t="s">
        <v>120</v>
      </c>
      <c r="G205" s="4" t="s">
        <v>21</v>
      </c>
      <c r="H205" s="4">
        <v>3</v>
      </c>
      <c r="I205" s="4">
        <v>89.99</v>
      </c>
      <c r="J205" s="4" t="s">
        <v>59</v>
      </c>
      <c r="K205" s="4" t="s">
        <v>37</v>
      </c>
      <c r="L205" s="4" t="s">
        <v>29</v>
      </c>
      <c r="M205" s="5">
        <v>45307</v>
      </c>
      <c r="N205" s="4">
        <v>269.97000000000003</v>
      </c>
      <c r="O205" s="7">
        <f t="shared" ca="1" si="15"/>
        <v>46084.816637962962</v>
      </c>
      <c r="P205" s="8">
        <f t="shared" ca="1" si="16"/>
        <v>46084.816637962962</v>
      </c>
      <c r="Q205">
        <f t="shared" si="17"/>
        <v>43218.560000000012</v>
      </c>
      <c r="R205">
        <f t="shared" si="18"/>
        <v>3.5999999999999996</v>
      </c>
      <c r="S205">
        <f t="shared" si="19"/>
        <v>323.96399999999994</v>
      </c>
      <c r="T205" cm="1">
        <f t="array" ref="T205">SUMPRODUCT(H205:H453*1.2, I205:I453)</f>
        <v>51862.272000000004</v>
      </c>
      <c r="U205" cm="1">
        <f t="array" ref="U205">SUMPRODUCT(H205:H453, I205:I453*0.9)</f>
        <v>38896.704000000005</v>
      </c>
      <c r="V205" cm="1">
        <f t="array" ref="V205">SUMPRODUCT((H205:H453*1.15)*(I205:I453*0.95))</f>
        <v>47216.276799999985</v>
      </c>
      <c r="W205">
        <f>MONTH(Table1[[#This Row],[Date]])</f>
        <v>1</v>
      </c>
    </row>
    <row r="206" spans="1:23" ht="15.75" customHeight="1" x14ac:dyDescent="0.3">
      <c r="A206" s="4" t="s">
        <v>353</v>
      </c>
      <c r="B206" s="5">
        <v>45692</v>
      </c>
      <c r="C206" s="4" t="s">
        <v>327</v>
      </c>
      <c r="D206" s="4" t="s">
        <v>328</v>
      </c>
      <c r="E206" s="4" t="s">
        <v>33</v>
      </c>
      <c r="F206" s="4" t="s">
        <v>34</v>
      </c>
      <c r="G206" s="4" t="s">
        <v>35</v>
      </c>
      <c r="H206" s="4">
        <v>1</v>
      </c>
      <c r="I206" s="4">
        <v>59.99</v>
      </c>
      <c r="J206" s="4" t="s">
        <v>59</v>
      </c>
      <c r="K206" s="4" t="s">
        <v>23</v>
      </c>
      <c r="L206" s="4" t="s">
        <v>38</v>
      </c>
      <c r="M206" s="5">
        <v>45045</v>
      </c>
      <c r="N206" s="4">
        <v>59.99</v>
      </c>
      <c r="O206" s="7">
        <f t="shared" ca="1" si="15"/>
        <v>46084.816637962962</v>
      </c>
      <c r="P206" s="8">
        <f t="shared" ca="1" si="16"/>
        <v>46084.816637962962</v>
      </c>
      <c r="Q206">
        <f t="shared" si="17"/>
        <v>42948.590000000011</v>
      </c>
      <c r="R206">
        <f t="shared" si="18"/>
        <v>1.2</v>
      </c>
      <c r="S206">
        <f t="shared" si="19"/>
        <v>71.988</v>
      </c>
      <c r="T206" cm="1">
        <f t="array" ref="T206">SUMPRODUCT(H206:H454*1.2, I206:I454)</f>
        <v>51538.308000000005</v>
      </c>
      <c r="U206" cm="1">
        <f t="array" ref="U206">SUMPRODUCT(H206:H454, I206:I454*0.9)</f>
        <v>38653.731000000007</v>
      </c>
      <c r="V206" cm="1">
        <f t="array" ref="V206">SUMPRODUCT((H206:H454*1.15)*(I206:I454*0.95))</f>
        <v>46921.334574999986</v>
      </c>
      <c r="W206">
        <f>MONTH(Table1[[#This Row],[Date]])</f>
        <v>2</v>
      </c>
    </row>
    <row r="207" spans="1:23" ht="15.75" customHeight="1" x14ac:dyDescent="0.3">
      <c r="A207" s="4" t="s">
        <v>354</v>
      </c>
      <c r="B207" s="5">
        <v>45695</v>
      </c>
      <c r="C207" s="4" t="s">
        <v>248</v>
      </c>
      <c r="D207" s="4" t="s">
        <v>249</v>
      </c>
      <c r="E207" s="4" t="s">
        <v>46</v>
      </c>
      <c r="F207" s="4" t="s">
        <v>47</v>
      </c>
      <c r="G207" s="4" t="s">
        <v>48</v>
      </c>
      <c r="H207" s="4">
        <v>3</v>
      </c>
      <c r="I207" s="4">
        <v>149.99</v>
      </c>
      <c r="J207" s="4" t="s">
        <v>59</v>
      </c>
      <c r="K207" s="4" t="s">
        <v>42</v>
      </c>
      <c r="L207" s="4" t="s">
        <v>29</v>
      </c>
      <c r="M207" s="5">
        <v>44564</v>
      </c>
      <c r="N207" s="4">
        <v>449.97</v>
      </c>
      <c r="O207" s="7">
        <f t="shared" ca="1" si="15"/>
        <v>46084.816637962962</v>
      </c>
      <c r="P207" s="8">
        <f t="shared" ca="1" si="16"/>
        <v>46084.816637962962</v>
      </c>
      <c r="Q207">
        <f t="shared" si="17"/>
        <v>42888.600000000013</v>
      </c>
      <c r="R207">
        <f t="shared" si="18"/>
        <v>3.5999999999999996</v>
      </c>
      <c r="S207">
        <f t="shared" si="19"/>
        <v>539.96399999999994</v>
      </c>
      <c r="T207" cm="1">
        <f t="array" ref="T207">SUMPRODUCT(H207:H455*1.2, I207:I455)</f>
        <v>51466.320000000007</v>
      </c>
      <c r="U207" cm="1">
        <f t="array" ref="U207">SUMPRODUCT(H207:H455, I207:I455*0.9)</f>
        <v>38599.740000000005</v>
      </c>
      <c r="V207" cm="1">
        <f t="array" ref="V207">SUMPRODUCT((H207:H455*1.15)*(I207:I455*0.95))</f>
        <v>46855.795499999986</v>
      </c>
      <c r="W207">
        <f>MONTH(Table1[[#This Row],[Date]])</f>
        <v>2</v>
      </c>
    </row>
    <row r="208" spans="1:23" ht="15.75" customHeight="1" x14ac:dyDescent="0.3">
      <c r="A208" s="4" t="s">
        <v>355</v>
      </c>
      <c r="B208" s="5">
        <v>45695</v>
      </c>
      <c r="C208" s="4" t="s">
        <v>95</v>
      </c>
      <c r="D208" s="4" t="s">
        <v>96</v>
      </c>
      <c r="E208" s="4" t="s">
        <v>107</v>
      </c>
      <c r="F208" s="4" t="s">
        <v>108</v>
      </c>
      <c r="G208" s="4" t="s">
        <v>48</v>
      </c>
      <c r="H208" s="4">
        <v>5</v>
      </c>
      <c r="I208" s="4">
        <v>299.99</v>
      </c>
      <c r="J208" s="4" t="s">
        <v>28</v>
      </c>
      <c r="K208" s="4" t="s">
        <v>37</v>
      </c>
      <c r="L208" s="4" t="s">
        <v>24</v>
      </c>
      <c r="M208" s="5">
        <v>44959</v>
      </c>
      <c r="N208" s="4">
        <v>1499.95</v>
      </c>
      <c r="O208" s="7">
        <f t="shared" ca="1" si="15"/>
        <v>46084.816637962962</v>
      </c>
      <c r="P208" s="8">
        <f t="shared" ca="1" si="16"/>
        <v>46084.816637962962</v>
      </c>
      <c r="Q208">
        <f t="shared" si="17"/>
        <v>42438.630000000012</v>
      </c>
      <c r="R208">
        <f t="shared" si="18"/>
        <v>6</v>
      </c>
      <c r="S208">
        <f t="shared" si="19"/>
        <v>1799.94</v>
      </c>
      <c r="T208" cm="1">
        <f t="array" ref="T208">SUMPRODUCT(H208:H456*1.2, I208:I456)</f>
        <v>50926.355999999992</v>
      </c>
      <c r="U208" cm="1">
        <f t="array" ref="U208">SUMPRODUCT(H208:H456, I208:I456*0.9)</f>
        <v>38194.767000000007</v>
      </c>
      <c r="V208" cm="1">
        <f t="array" ref="V208">SUMPRODUCT((H208:H456*1.15)*(I208:I456*0.95))</f>
        <v>46364.203274999993</v>
      </c>
      <c r="W208">
        <f>MONTH(Table1[[#This Row],[Date]])</f>
        <v>2</v>
      </c>
    </row>
    <row r="209" spans="1:23" ht="15.75" customHeight="1" x14ac:dyDescent="0.3">
      <c r="A209" s="4" t="s">
        <v>356</v>
      </c>
      <c r="B209" s="5">
        <v>45696</v>
      </c>
      <c r="C209" s="4" t="s">
        <v>152</v>
      </c>
      <c r="D209" s="4" t="s">
        <v>153</v>
      </c>
      <c r="E209" s="4" t="s">
        <v>33</v>
      </c>
      <c r="F209" s="4" t="s">
        <v>34</v>
      </c>
      <c r="G209" s="4" t="s">
        <v>35</v>
      </c>
      <c r="H209" s="4">
        <v>5</v>
      </c>
      <c r="I209" s="4">
        <v>59.99</v>
      </c>
      <c r="J209" s="4" t="s">
        <v>59</v>
      </c>
      <c r="K209" s="4" t="s">
        <v>23</v>
      </c>
      <c r="L209" s="4" t="s">
        <v>38</v>
      </c>
      <c r="M209" s="5">
        <v>45177</v>
      </c>
      <c r="N209" s="4">
        <v>299.95</v>
      </c>
      <c r="O209" s="7">
        <f t="shared" ca="1" si="15"/>
        <v>46084.816637962962</v>
      </c>
      <c r="P209" s="8">
        <f t="shared" ca="1" si="16"/>
        <v>46084.816637962962</v>
      </c>
      <c r="Q209">
        <f t="shared" si="17"/>
        <v>40938.680000000015</v>
      </c>
      <c r="R209">
        <f t="shared" si="18"/>
        <v>6</v>
      </c>
      <c r="S209">
        <f t="shared" si="19"/>
        <v>359.94</v>
      </c>
      <c r="T209" cm="1">
        <f t="array" ref="T209">SUMPRODUCT(H209:H457*1.2, I209:I457)</f>
        <v>49126.415999999997</v>
      </c>
      <c r="U209" cm="1">
        <f t="array" ref="U209">SUMPRODUCT(H209:H457, I209:I457*0.9)</f>
        <v>36844.812000000005</v>
      </c>
      <c r="V209" cm="1">
        <f t="array" ref="V209">SUMPRODUCT((H209:H457*1.15)*(I209:I457*0.95))</f>
        <v>44725.507899999997</v>
      </c>
      <c r="W209">
        <f>MONTH(Table1[[#This Row],[Date]])</f>
        <v>2</v>
      </c>
    </row>
    <row r="210" spans="1:23" ht="15.75" customHeight="1" x14ac:dyDescent="0.3">
      <c r="A210" s="4" t="s">
        <v>357</v>
      </c>
      <c r="B210" s="5">
        <v>45701</v>
      </c>
      <c r="C210" s="4" t="s">
        <v>110</v>
      </c>
      <c r="D210" s="4" t="s">
        <v>111</v>
      </c>
      <c r="E210" s="4" t="s">
        <v>116</v>
      </c>
      <c r="F210" s="4" t="s">
        <v>117</v>
      </c>
      <c r="G210" s="4" t="s">
        <v>35</v>
      </c>
      <c r="H210" s="4">
        <v>3</v>
      </c>
      <c r="I210" s="4">
        <v>79.989999999999995</v>
      </c>
      <c r="J210" s="4" t="s">
        <v>22</v>
      </c>
      <c r="K210" s="4" t="s">
        <v>65</v>
      </c>
      <c r="L210" s="4" t="s">
        <v>29</v>
      </c>
      <c r="M210" s="5">
        <v>44436</v>
      </c>
      <c r="N210" s="4">
        <v>239.97</v>
      </c>
      <c r="O210" s="7">
        <f t="shared" ca="1" si="15"/>
        <v>46084.816637962962</v>
      </c>
      <c r="P210" s="8">
        <f t="shared" ca="1" si="16"/>
        <v>46084.816637962962</v>
      </c>
      <c r="Q210">
        <f t="shared" si="17"/>
        <v>40638.730000000018</v>
      </c>
      <c r="R210">
        <f t="shared" si="18"/>
        <v>3.5999999999999996</v>
      </c>
      <c r="S210">
        <f t="shared" si="19"/>
        <v>287.96399999999994</v>
      </c>
      <c r="T210" cm="1">
        <f t="array" ref="T210">SUMPRODUCT(H210:H458*1.2, I210:I458)</f>
        <v>48766.475999999995</v>
      </c>
      <c r="U210" cm="1">
        <f t="array" ref="U210">SUMPRODUCT(H210:H458, I210:I458*0.9)</f>
        <v>36574.857000000004</v>
      </c>
      <c r="V210" cm="1">
        <f t="array" ref="V210">SUMPRODUCT((H210:H458*1.15)*(I210:I458*0.95))</f>
        <v>44397.812524999994</v>
      </c>
      <c r="W210">
        <f>MONTH(Table1[[#This Row],[Date]])</f>
        <v>2</v>
      </c>
    </row>
    <row r="211" spans="1:23" ht="15.75" customHeight="1" x14ac:dyDescent="0.3">
      <c r="A211" s="4" t="s">
        <v>358</v>
      </c>
      <c r="B211" s="5">
        <v>45704</v>
      </c>
      <c r="C211" s="4" t="s">
        <v>31</v>
      </c>
      <c r="D211" s="4" t="s">
        <v>32</v>
      </c>
      <c r="E211" s="4" t="s">
        <v>128</v>
      </c>
      <c r="F211" s="4" t="s">
        <v>129</v>
      </c>
      <c r="G211" s="4" t="s">
        <v>48</v>
      </c>
      <c r="H211" s="4">
        <v>3</v>
      </c>
      <c r="I211" s="4">
        <v>199.99</v>
      </c>
      <c r="J211" s="4" t="s">
        <v>22</v>
      </c>
      <c r="K211" s="4" t="s">
        <v>23</v>
      </c>
      <c r="L211" s="4" t="s">
        <v>24</v>
      </c>
      <c r="M211" s="5">
        <v>44735</v>
      </c>
      <c r="N211" s="4">
        <v>599.97</v>
      </c>
      <c r="O211" s="7">
        <f t="shared" ca="1" si="15"/>
        <v>46084.816637962962</v>
      </c>
      <c r="P211" s="8">
        <f t="shared" ca="1" si="16"/>
        <v>46084.816637962962</v>
      </c>
      <c r="Q211">
        <f t="shared" si="17"/>
        <v>40398.760000000017</v>
      </c>
      <c r="R211">
        <f t="shared" si="18"/>
        <v>3.5999999999999996</v>
      </c>
      <c r="S211">
        <f t="shared" si="19"/>
        <v>719.96399999999994</v>
      </c>
      <c r="T211" cm="1">
        <f t="array" ref="T211">SUMPRODUCT(H211:H459*1.2, I211:I459)</f>
        <v>48478.511999999995</v>
      </c>
      <c r="U211" cm="1">
        <f t="array" ref="U211">SUMPRODUCT(H211:H459, I211:I459*0.9)</f>
        <v>36358.883999999998</v>
      </c>
      <c r="V211" cm="1">
        <f t="array" ref="V211">SUMPRODUCT((H211:H459*1.15)*(I211:I459*0.95))</f>
        <v>44135.645299999996</v>
      </c>
      <c r="W211">
        <f>MONTH(Table1[[#This Row],[Date]])</f>
        <v>2</v>
      </c>
    </row>
    <row r="212" spans="1:23" ht="15.75" customHeight="1" x14ac:dyDescent="0.3">
      <c r="A212" s="4" t="s">
        <v>359</v>
      </c>
      <c r="B212" s="5">
        <v>45704</v>
      </c>
      <c r="C212" s="4" t="s">
        <v>17</v>
      </c>
      <c r="D212" s="4" t="s">
        <v>18</v>
      </c>
      <c r="E212" s="4" t="s">
        <v>119</v>
      </c>
      <c r="F212" s="4" t="s">
        <v>120</v>
      </c>
      <c r="G212" s="4" t="s">
        <v>21</v>
      </c>
      <c r="H212" s="4">
        <v>2</v>
      </c>
      <c r="I212" s="4">
        <v>89.99</v>
      </c>
      <c r="J212" s="4" t="s">
        <v>36</v>
      </c>
      <c r="K212" s="4" t="s">
        <v>23</v>
      </c>
      <c r="L212" s="4" t="s">
        <v>24</v>
      </c>
      <c r="M212" s="5">
        <v>45257</v>
      </c>
      <c r="N212" s="4">
        <v>179.98</v>
      </c>
      <c r="O212" s="7">
        <f t="shared" ca="1" si="15"/>
        <v>46084.816637962962</v>
      </c>
      <c r="P212" s="8">
        <f t="shared" ca="1" si="16"/>
        <v>46084.816637962962</v>
      </c>
      <c r="Q212">
        <f t="shared" si="17"/>
        <v>39798.790000000015</v>
      </c>
      <c r="R212">
        <f t="shared" si="18"/>
        <v>2.4</v>
      </c>
      <c r="S212">
        <f t="shared" si="19"/>
        <v>215.97599999999997</v>
      </c>
      <c r="T212" cm="1">
        <f t="array" ref="T212">SUMPRODUCT(H212:H460*1.2, I212:I460)</f>
        <v>47758.547999999995</v>
      </c>
      <c r="U212" cm="1">
        <f t="array" ref="U212">SUMPRODUCT(H212:H460, I212:I460*0.9)</f>
        <v>35818.911</v>
      </c>
      <c r="V212" cm="1">
        <f t="array" ref="V212">SUMPRODUCT((H212:H460*1.15)*(I212:I460*0.95))</f>
        <v>43480.178074999996</v>
      </c>
      <c r="W212">
        <f>MONTH(Table1[[#This Row],[Date]])</f>
        <v>2</v>
      </c>
    </row>
    <row r="213" spans="1:23" ht="15.75" customHeight="1" x14ac:dyDescent="0.3">
      <c r="A213" s="4" t="s">
        <v>360</v>
      </c>
      <c r="B213" s="5">
        <v>45705</v>
      </c>
      <c r="C213" s="4" t="s">
        <v>261</v>
      </c>
      <c r="D213" s="4" t="s">
        <v>262</v>
      </c>
      <c r="E213" s="4" t="s">
        <v>46</v>
      </c>
      <c r="F213" s="4" t="s">
        <v>47</v>
      </c>
      <c r="G213" s="4" t="s">
        <v>48</v>
      </c>
      <c r="H213" s="4">
        <v>2</v>
      </c>
      <c r="I213" s="4">
        <v>149.99</v>
      </c>
      <c r="J213" s="4" t="s">
        <v>22</v>
      </c>
      <c r="K213" s="4" t="s">
        <v>37</v>
      </c>
      <c r="L213" s="4" t="s">
        <v>29</v>
      </c>
      <c r="M213" s="5">
        <v>44728</v>
      </c>
      <c r="N213" s="4">
        <v>299.98</v>
      </c>
      <c r="O213" s="7">
        <f t="shared" ca="1" si="15"/>
        <v>46084.816637962962</v>
      </c>
      <c r="P213" s="8">
        <f t="shared" ca="1" si="16"/>
        <v>46084.816637962962</v>
      </c>
      <c r="Q213">
        <f t="shared" si="17"/>
        <v>39618.810000000012</v>
      </c>
      <c r="R213">
        <f t="shared" si="18"/>
        <v>2.4</v>
      </c>
      <c r="S213">
        <f t="shared" si="19"/>
        <v>359.976</v>
      </c>
      <c r="T213" cm="1">
        <f t="array" ref="T213">SUMPRODUCT(H213:H461*1.2, I213:I461)</f>
        <v>47542.572</v>
      </c>
      <c r="U213" cm="1">
        <f t="array" ref="U213">SUMPRODUCT(H213:H461, I213:I461*0.9)</f>
        <v>35656.929000000004</v>
      </c>
      <c r="V213" cm="1">
        <f t="array" ref="V213">SUMPRODUCT((H213:H461*1.15)*(I213:I461*0.95))</f>
        <v>43283.549924999992</v>
      </c>
      <c r="W213">
        <f>MONTH(Table1[[#This Row],[Date]])</f>
        <v>2</v>
      </c>
    </row>
    <row r="214" spans="1:23" ht="15.75" customHeight="1" x14ac:dyDescent="0.3">
      <c r="A214" s="4" t="s">
        <v>361</v>
      </c>
      <c r="B214" s="5">
        <v>45707</v>
      </c>
      <c r="C214" s="4" t="s">
        <v>125</v>
      </c>
      <c r="D214" s="4" t="s">
        <v>126</v>
      </c>
      <c r="E214" s="4" t="s">
        <v>82</v>
      </c>
      <c r="F214" s="4" t="s">
        <v>83</v>
      </c>
      <c r="G214" s="4" t="s">
        <v>21</v>
      </c>
      <c r="H214" s="4">
        <v>5</v>
      </c>
      <c r="I214" s="4">
        <v>699.99</v>
      </c>
      <c r="J214" s="4" t="s">
        <v>36</v>
      </c>
      <c r="K214" s="4" t="s">
        <v>37</v>
      </c>
      <c r="L214" s="4" t="s">
        <v>29</v>
      </c>
      <c r="M214" s="5">
        <v>45352</v>
      </c>
      <c r="N214" s="4">
        <v>3499.95</v>
      </c>
      <c r="O214" s="7">
        <f t="shared" ca="1" si="15"/>
        <v>46084.816637962962</v>
      </c>
      <c r="P214" s="8">
        <f t="shared" ca="1" si="16"/>
        <v>46084.816637962962</v>
      </c>
      <c r="Q214">
        <f t="shared" si="17"/>
        <v>39318.830000000009</v>
      </c>
      <c r="R214">
        <f t="shared" si="18"/>
        <v>6</v>
      </c>
      <c r="S214">
        <f t="shared" si="19"/>
        <v>4199.9400000000005</v>
      </c>
      <c r="T214" cm="1">
        <f t="array" ref="T214">SUMPRODUCT(H214:H462*1.2, I214:I462)</f>
        <v>47182.595999999998</v>
      </c>
      <c r="U214" cm="1">
        <f t="array" ref="U214">SUMPRODUCT(H214:H462, I214:I462*0.9)</f>
        <v>35386.947</v>
      </c>
      <c r="V214" cm="1">
        <f t="array" ref="V214">SUMPRODUCT((H214:H462*1.15)*(I214:I462*0.95))</f>
        <v>42955.821774999997</v>
      </c>
      <c r="W214">
        <f>MONTH(Table1[[#This Row],[Date]])</f>
        <v>2</v>
      </c>
    </row>
    <row r="215" spans="1:23" ht="15.75" customHeight="1" x14ac:dyDescent="0.3">
      <c r="A215" s="4" t="s">
        <v>362</v>
      </c>
      <c r="B215" s="5">
        <v>45707</v>
      </c>
      <c r="C215" s="4" t="s">
        <v>44</v>
      </c>
      <c r="D215" s="4" t="s">
        <v>45</v>
      </c>
      <c r="E215" s="4" t="s">
        <v>46</v>
      </c>
      <c r="F215" s="4" t="s">
        <v>47</v>
      </c>
      <c r="G215" s="4" t="s">
        <v>48</v>
      </c>
      <c r="H215" s="4">
        <v>3</v>
      </c>
      <c r="I215" s="4">
        <v>149.99</v>
      </c>
      <c r="J215" s="4" t="s">
        <v>36</v>
      </c>
      <c r="K215" s="4" t="s">
        <v>23</v>
      </c>
      <c r="L215" s="4" t="s">
        <v>38</v>
      </c>
      <c r="M215" s="5">
        <v>44633</v>
      </c>
      <c r="N215" s="4">
        <v>449.97</v>
      </c>
      <c r="O215" s="7">
        <f t="shared" ca="1" si="15"/>
        <v>46084.816637962962</v>
      </c>
      <c r="P215" s="8">
        <f t="shared" ca="1" si="16"/>
        <v>46084.816637962962</v>
      </c>
      <c r="Q215">
        <f t="shared" si="17"/>
        <v>35818.880000000005</v>
      </c>
      <c r="R215">
        <f t="shared" si="18"/>
        <v>3.5999999999999996</v>
      </c>
      <c r="S215">
        <f t="shared" si="19"/>
        <v>539.96399999999994</v>
      </c>
      <c r="T215" cm="1">
        <f t="array" ref="T215">SUMPRODUCT(H215:H463*1.2, I215:I463)</f>
        <v>42982.656000000003</v>
      </c>
      <c r="U215" cm="1">
        <f t="array" ref="U215">SUMPRODUCT(H215:H463, I215:I463*0.9)</f>
        <v>32236.992000000006</v>
      </c>
      <c r="V215" cm="1">
        <f t="array" ref="V215">SUMPRODUCT((H215:H463*1.15)*(I215:I463*0.95))</f>
        <v>39132.126400000001</v>
      </c>
      <c r="W215">
        <f>MONTH(Table1[[#This Row],[Date]])</f>
        <v>2</v>
      </c>
    </row>
    <row r="216" spans="1:23" ht="15.75" customHeight="1" x14ac:dyDescent="0.3">
      <c r="A216" s="4" t="s">
        <v>363</v>
      </c>
      <c r="B216" s="5">
        <v>45708</v>
      </c>
      <c r="C216" s="4" t="s">
        <v>98</v>
      </c>
      <c r="D216" s="4" t="s">
        <v>99</v>
      </c>
      <c r="E216" s="4" t="s">
        <v>63</v>
      </c>
      <c r="F216" s="4" t="s">
        <v>64</v>
      </c>
      <c r="G216" s="4" t="s">
        <v>21</v>
      </c>
      <c r="H216" s="4">
        <v>3</v>
      </c>
      <c r="I216" s="4">
        <v>899.99</v>
      </c>
      <c r="J216" s="4" t="s">
        <v>22</v>
      </c>
      <c r="K216" s="4" t="s">
        <v>65</v>
      </c>
      <c r="L216" s="4" t="s">
        <v>38</v>
      </c>
      <c r="M216" s="5">
        <v>44613</v>
      </c>
      <c r="N216" s="4">
        <v>2699.97</v>
      </c>
      <c r="O216" s="7">
        <f t="shared" ca="1" si="15"/>
        <v>46084.816637962962</v>
      </c>
      <c r="P216" s="8">
        <f t="shared" ca="1" si="16"/>
        <v>46084.816637962962</v>
      </c>
      <c r="Q216">
        <f t="shared" si="17"/>
        <v>35368.910000000011</v>
      </c>
      <c r="R216">
        <f t="shared" si="18"/>
        <v>3.5999999999999996</v>
      </c>
      <c r="S216">
        <f t="shared" si="19"/>
        <v>3239.9639999999995</v>
      </c>
      <c r="T216" cm="1">
        <f t="array" ref="T216">SUMPRODUCT(H216:H464*1.2, I216:I464)</f>
        <v>42442.69200000001</v>
      </c>
      <c r="U216" cm="1">
        <f t="array" ref="U216">SUMPRODUCT(H216:H464, I216:I464*0.9)</f>
        <v>31832.019000000008</v>
      </c>
      <c r="V216" cm="1">
        <f t="array" ref="V216">SUMPRODUCT((H216:H464*1.15)*(I216:I464*0.95))</f>
        <v>38640.534175000001</v>
      </c>
      <c r="W216">
        <f>MONTH(Table1[[#This Row],[Date]])</f>
        <v>2</v>
      </c>
    </row>
    <row r="217" spans="1:23" ht="15.75" customHeight="1" x14ac:dyDescent="0.3">
      <c r="A217" s="4" t="s">
        <v>364</v>
      </c>
      <c r="B217" s="5">
        <v>45708</v>
      </c>
      <c r="C217" s="4" t="s">
        <v>194</v>
      </c>
      <c r="D217" s="4" t="s">
        <v>195</v>
      </c>
      <c r="E217" s="4" t="s">
        <v>128</v>
      </c>
      <c r="F217" s="4" t="s">
        <v>129</v>
      </c>
      <c r="G217" s="4" t="s">
        <v>48</v>
      </c>
      <c r="H217" s="4">
        <v>3</v>
      </c>
      <c r="I217" s="4">
        <v>199.99</v>
      </c>
      <c r="J217" s="4" t="s">
        <v>22</v>
      </c>
      <c r="K217" s="4" t="s">
        <v>52</v>
      </c>
      <c r="L217" s="4" t="s">
        <v>29</v>
      </c>
      <c r="M217" s="5">
        <v>44823</v>
      </c>
      <c r="N217" s="4">
        <v>599.97</v>
      </c>
      <c r="O217" s="7">
        <f t="shared" ca="1" si="15"/>
        <v>46084.816637962962</v>
      </c>
      <c r="P217" s="8">
        <f t="shared" ca="1" si="16"/>
        <v>46084.816637962962</v>
      </c>
      <c r="Q217">
        <f t="shared" si="17"/>
        <v>32668.94000000001</v>
      </c>
      <c r="R217">
        <f t="shared" si="18"/>
        <v>3.5999999999999996</v>
      </c>
      <c r="S217">
        <f t="shared" si="19"/>
        <v>719.96399999999994</v>
      </c>
      <c r="T217" cm="1">
        <f t="array" ref="T217">SUMPRODUCT(H217:H465*1.2, I217:I465)</f>
        <v>39202.727999999996</v>
      </c>
      <c r="U217" cm="1">
        <f t="array" ref="U217">SUMPRODUCT(H217:H465, I217:I465*0.9)</f>
        <v>29402.046000000009</v>
      </c>
      <c r="V217" cm="1">
        <f t="array" ref="V217">SUMPRODUCT((H217:H465*1.15)*(I217:I465*0.95))</f>
        <v>35690.81695</v>
      </c>
      <c r="W217">
        <f>MONTH(Table1[[#This Row],[Date]])</f>
        <v>2</v>
      </c>
    </row>
    <row r="218" spans="1:23" ht="15.75" customHeight="1" x14ac:dyDescent="0.3">
      <c r="A218" s="4" t="s">
        <v>365</v>
      </c>
      <c r="B218" s="5">
        <v>45710</v>
      </c>
      <c r="C218" s="4" t="s">
        <v>57</v>
      </c>
      <c r="D218" s="4" t="s">
        <v>58</v>
      </c>
      <c r="E218" s="4" t="s">
        <v>107</v>
      </c>
      <c r="F218" s="4" t="s">
        <v>108</v>
      </c>
      <c r="G218" s="4" t="s">
        <v>48</v>
      </c>
      <c r="H218" s="4">
        <v>5</v>
      </c>
      <c r="I218" s="4">
        <v>299.99</v>
      </c>
      <c r="J218" s="4" t="s">
        <v>22</v>
      </c>
      <c r="K218" s="4" t="s">
        <v>52</v>
      </c>
      <c r="L218" s="4" t="s">
        <v>38</v>
      </c>
      <c r="M218" s="5">
        <v>45142</v>
      </c>
      <c r="N218" s="4">
        <v>1499.95</v>
      </c>
      <c r="O218" s="7">
        <f t="shared" ca="1" si="15"/>
        <v>46084.816637962962</v>
      </c>
      <c r="P218" s="8">
        <f t="shared" ca="1" si="16"/>
        <v>46084.816637962962</v>
      </c>
      <c r="Q218">
        <f t="shared" si="17"/>
        <v>32068.970000000008</v>
      </c>
      <c r="R218">
        <f t="shared" si="18"/>
        <v>6</v>
      </c>
      <c r="S218">
        <f t="shared" si="19"/>
        <v>1799.94</v>
      </c>
      <c r="T218" cm="1">
        <f t="array" ref="T218">SUMPRODUCT(H218:H466*1.2, I218:I466)</f>
        <v>38482.763999999996</v>
      </c>
      <c r="U218" cm="1">
        <f t="array" ref="U218">SUMPRODUCT(H218:H466, I218:I466*0.9)</f>
        <v>28862.073000000011</v>
      </c>
      <c r="V218" cm="1">
        <f t="array" ref="V218">SUMPRODUCT((H218:H466*1.15)*(I218:I466*0.95))</f>
        <v>35035.349725</v>
      </c>
      <c r="W218">
        <f>MONTH(Table1[[#This Row],[Date]])</f>
        <v>2</v>
      </c>
    </row>
    <row r="219" spans="1:23" ht="15.75" customHeight="1" x14ac:dyDescent="0.3">
      <c r="A219" s="4" t="s">
        <v>366</v>
      </c>
      <c r="B219" s="5">
        <v>45710</v>
      </c>
      <c r="C219" s="4" t="s">
        <v>152</v>
      </c>
      <c r="D219" s="4" t="s">
        <v>153</v>
      </c>
      <c r="E219" s="4" t="s">
        <v>82</v>
      </c>
      <c r="F219" s="4" t="s">
        <v>83</v>
      </c>
      <c r="G219" s="4" t="s">
        <v>21</v>
      </c>
      <c r="H219" s="4">
        <v>1</v>
      </c>
      <c r="I219" s="4">
        <v>699.99</v>
      </c>
      <c r="J219" s="4" t="s">
        <v>36</v>
      </c>
      <c r="K219" s="4" t="s">
        <v>52</v>
      </c>
      <c r="L219" s="4" t="s">
        <v>24</v>
      </c>
      <c r="M219" s="5">
        <v>44934</v>
      </c>
      <c r="N219" s="4">
        <v>699.99</v>
      </c>
      <c r="O219" s="7">
        <f t="shared" ca="1" si="15"/>
        <v>46084.816637962962</v>
      </c>
      <c r="P219" s="8">
        <f t="shared" ca="1" si="16"/>
        <v>46084.816637962962</v>
      </c>
      <c r="Q219">
        <f t="shared" si="17"/>
        <v>30569.020000000004</v>
      </c>
      <c r="R219">
        <f t="shared" si="18"/>
        <v>1.2</v>
      </c>
      <c r="S219">
        <f t="shared" si="19"/>
        <v>839.98799999999994</v>
      </c>
      <c r="T219" cm="1">
        <f t="array" ref="T219">SUMPRODUCT(H219:H467*1.2, I219:I467)</f>
        <v>36682.824000000001</v>
      </c>
      <c r="U219" cm="1">
        <f t="array" ref="U219">SUMPRODUCT(H219:H467, I219:I467*0.9)</f>
        <v>27512.118000000009</v>
      </c>
      <c r="V219" cm="1">
        <f t="array" ref="V219">SUMPRODUCT((H219:H467*1.15)*(I219:I467*0.95))</f>
        <v>33396.654349999997</v>
      </c>
      <c r="W219">
        <f>MONTH(Table1[[#This Row],[Date]])</f>
        <v>2</v>
      </c>
    </row>
    <row r="220" spans="1:23" ht="15.75" customHeight="1" x14ac:dyDescent="0.3">
      <c r="A220" s="4" t="s">
        <v>367</v>
      </c>
      <c r="B220" s="5">
        <v>45711</v>
      </c>
      <c r="C220" s="4" t="s">
        <v>248</v>
      </c>
      <c r="D220" s="4" t="s">
        <v>249</v>
      </c>
      <c r="E220" s="4" t="s">
        <v>82</v>
      </c>
      <c r="F220" s="4" t="s">
        <v>83</v>
      </c>
      <c r="G220" s="4" t="s">
        <v>21</v>
      </c>
      <c r="H220" s="4">
        <v>1</v>
      </c>
      <c r="I220" s="4">
        <v>699.99</v>
      </c>
      <c r="J220" s="4" t="s">
        <v>22</v>
      </c>
      <c r="K220" s="4" t="s">
        <v>42</v>
      </c>
      <c r="L220" s="4" t="s">
        <v>29</v>
      </c>
      <c r="M220" s="5">
        <v>44583</v>
      </c>
      <c r="N220" s="4">
        <v>699.99</v>
      </c>
      <c r="O220" s="7">
        <f t="shared" ca="1" si="15"/>
        <v>46084.816637962962</v>
      </c>
      <c r="P220" s="8">
        <f t="shared" ca="1" si="16"/>
        <v>46084.816637962962</v>
      </c>
      <c r="Q220">
        <f t="shared" si="17"/>
        <v>29869.030000000002</v>
      </c>
      <c r="R220">
        <f t="shared" si="18"/>
        <v>1.2</v>
      </c>
      <c r="S220">
        <f t="shared" si="19"/>
        <v>839.98799999999994</v>
      </c>
      <c r="T220" cm="1">
        <f t="array" ref="T220">SUMPRODUCT(H220:H468*1.2, I220:I468)</f>
        <v>35842.836000000003</v>
      </c>
      <c r="U220" cm="1">
        <f t="array" ref="U220">SUMPRODUCT(H220:H468, I220:I468*0.9)</f>
        <v>26882.127000000008</v>
      </c>
      <c r="V220" cm="1">
        <f t="array" ref="V220">SUMPRODUCT((H220:H468*1.15)*(I220:I468*0.95))</f>
        <v>32631.915274999999</v>
      </c>
      <c r="W220">
        <f>MONTH(Table1[[#This Row],[Date]])</f>
        <v>2</v>
      </c>
    </row>
    <row r="221" spans="1:23" ht="15.75" customHeight="1" x14ac:dyDescent="0.3">
      <c r="A221" s="4" t="s">
        <v>368</v>
      </c>
      <c r="B221" s="5">
        <v>45711</v>
      </c>
      <c r="C221" s="4" t="s">
        <v>327</v>
      </c>
      <c r="D221" s="4" t="s">
        <v>328</v>
      </c>
      <c r="E221" s="4" t="s">
        <v>46</v>
      </c>
      <c r="F221" s="4" t="s">
        <v>47</v>
      </c>
      <c r="G221" s="4" t="s">
        <v>48</v>
      </c>
      <c r="H221" s="4">
        <v>4</v>
      </c>
      <c r="I221" s="4">
        <v>149.99</v>
      </c>
      <c r="J221" s="4" t="s">
        <v>36</v>
      </c>
      <c r="K221" s="4" t="s">
        <v>42</v>
      </c>
      <c r="L221" s="4" t="s">
        <v>29</v>
      </c>
      <c r="M221" s="5">
        <v>44412</v>
      </c>
      <c r="N221" s="4">
        <v>599.96</v>
      </c>
      <c r="O221" s="7">
        <f t="shared" ca="1" si="15"/>
        <v>46084.816637962962</v>
      </c>
      <c r="P221" s="8">
        <f t="shared" ca="1" si="16"/>
        <v>46084.816637962962</v>
      </c>
      <c r="Q221">
        <f t="shared" si="17"/>
        <v>29169.040000000005</v>
      </c>
      <c r="R221">
        <f t="shared" si="18"/>
        <v>4.8</v>
      </c>
      <c r="S221">
        <f t="shared" si="19"/>
        <v>719.952</v>
      </c>
      <c r="T221" cm="1">
        <f t="array" ref="T221">SUMPRODUCT(H221:H469*1.2, I221:I469)</f>
        <v>35002.847999999998</v>
      </c>
      <c r="U221" cm="1">
        <f t="array" ref="U221">SUMPRODUCT(H221:H469, I221:I469*0.9)</f>
        <v>26252.136000000013</v>
      </c>
      <c r="V221" cm="1">
        <f t="array" ref="V221">SUMPRODUCT((H221:H469*1.15)*(I221:I469*0.95))</f>
        <v>31867.176200000002</v>
      </c>
      <c r="W221">
        <f>MONTH(Table1[[#This Row],[Date]])</f>
        <v>2</v>
      </c>
    </row>
    <row r="222" spans="1:23" ht="15.75" customHeight="1" x14ac:dyDescent="0.3">
      <c r="A222" s="4" t="s">
        <v>369</v>
      </c>
      <c r="B222" s="5">
        <v>45711</v>
      </c>
      <c r="C222" s="4" t="s">
        <v>213</v>
      </c>
      <c r="D222" s="4" t="s">
        <v>214</v>
      </c>
      <c r="E222" s="4" t="s">
        <v>119</v>
      </c>
      <c r="F222" s="4" t="s">
        <v>120</v>
      </c>
      <c r="G222" s="4" t="s">
        <v>21</v>
      </c>
      <c r="H222" s="4">
        <v>5</v>
      </c>
      <c r="I222" s="4">
        <v>89.99</v>
      </c>
      <c r="J222" s="4" t="s">
        <v>36</v>
      </c>
      <c r="K222" s="4" t="s">
        <v>52</v>
      </c>
      <c r="L222" s="4" t="s">
        <v>29</v>
      </c>
      <c r="M222" s="5">
        <v>45140</v>
      </c>
      <c r="N222" s="4">
        <v>449.95</v>
      </c>
      <c r="O222" s="7">
        <f t="shared" ca="1" si="15"/>
        <v>46084.816637962962</v>
      </c>
      <c r="P222" s="8">
        <f t="shared" ca="1" si="16"/>
        <v>46084.816637962962</v>
      </c>
      <c r="Q222">
        <f t="shared" si="17"/>
        <v>28569.080000000005</v>
      </c>
      <c r="R222">
        <f t="shared" si="18"/>
        <v>6</v>
      </c>
      <c r="S222">
        <f t="shared" si="19"/>
        <v>539.93999999999994</v>
      </c>
      <c r="T222" cm="1">
        <f t="array" ref="T222">SUMPRODUCT(H222:H470*1.2, I222:I470)</f>
        <v>34282.896000000001</v>
      </c>
      <c r="U222" cm="1">
        <f t="array" ref="U222">SUMPRODUCT(H222:H470, I222:I470*0.9)</f>
        <v>25712.172000000013</v>
      </c>
      <c r="V222" cm="1">
        <f t="array" ref="V222">SUMPRODUCT((H222:H470*1.15)*(I222:I470*0.95))</f>
        <v>31211.7199</v>
      </c>
      <c r="W222">
        <f>MONTH(Table1[[#This Row],[Date]])</f>
        <v>2</v>
      </c>
    </row>
    <row r="223" spans="1:23" ht="15.75" customHeight="1" x14ac:dyDescent="0.3">
      <c r="A223" s="4" t="s">
        <v>370</v>
      </c>
      <c r="B223" s="5">
        <v>45712</v>
      </c>
      <c r="C223" s="4" t="s">
        <v>140</v>
      </c>
      <c r="D223" s="4" t="s">
        <v>141</v>
      </c>
      <c r="E223" s="4" t="s">
        <v>128</v>
      </c>
      <c r="F223" s="4" t="s">
        <v>129</v>
      </c>
      <c r="G223" s="4" t="s">
        <v>48</v>
      </c>
      <c r="H223" s="4">
        <v>2</v>
      </c>
      <c r="I223" s="4">
        <v>199.99</v>
      </c>
      <c r="J223" s="4" t="s">
        <v>22</v>
      </c>
      <c r="K223" s="4" t="s">
        <v>23</v>
      </c>
      <c r="L223" s="4" t="s">
        <v>29</v>
      </c>
      <c r="M223" s="5">
        <v>44573</v>
      </c>
      <c r="N223" s="4">
        <v>399.98</v>
      </c>
      <c r="O223" s="7">
        <f t="shared" ca="1" si="15"/>
        <v>46084.816637962962</v>
      </c>
      <c r="P223" s="8">
        <f t="shared" ca="1" si="16"/>
        <v>46084.816637962962</v>
      </c>
      <c r="Q223">
        <f t="shared" si="17"/>
        <v>28119.130000000005</v>
      </c>
      <c r="R223">
        <f t="shared" si="18"/>
        <v>2.4</v>
      </c>
      <c r="S223">
        <f t="shared" si="19"/>
        <v>479.976</v>
      </c>
      <c r="T223" cm="1">
        <f t="array" ref="T223">SUMPRODUCT(H223:H471*1.2, I223:I471)</f>
        <v>33742.956000000006</v>
      </c>
      <c r="U223" cm="1">
        <f t="array" ref="U223">SUMPRODUCT(H223:H471, I223:I471*0.9)</f>
        <v>25307.217000000011</v>
      </c>
      <c r="V223" cm="1">
        <f t="array" ref="V223">SUMPRODUCT((H223:H471*1.15)*(I223:I471*0.95))</f>
        <v>30720.149525000001</v>
      </c>
      <c r="W223">
        <f>MONTH(Table1[[#This Row],[Date]])</f>
        <v>2</v>
      </c>
    </row>
    <row r="224" spans="1:23" ht="15.75" customHeight="1" x14ac:dyDescent="0.3">
      <c r="A224" s="4" t="s">
        <v>371</v>
      </c>
      <c r="B224" s="5">
        <v>45715</v>
      </c>
      <c r="C224" s="4" t="s">
        <v>261</v>
      </c>
      <c r="D224" s="4" t="s">
        <v>262</v>
      </c>
      <c r="E224" s="4" t="s">
        <v>33</v>
      </c>
      <c r="F224" s="4" t="s">
        <v>34</v>
      </c>
      <c r="G224" s="4" t="s">
        <v>35</v>
      </c>
      <c r="H224" s="4">
        <v>4</v>
      </c>
      <c r="I224" s="4">
        <v>59.99</v>
      </c>
      <c r="J224" s="4" t="s">
        <v>22</v>
      </c>
      <c r="K224" s="4" t="s">
        <v>52</v>
      </c>
      <c r="L224" s="4" t="s">
        <v>38</v>
      </c>
      <c r="M224" s="5">
        <v>45070</v>
      </c>
      <c r="N224" s="4">
        <v>239.96</v>
      </c>
      <c r="O224" s="7">
        <f t="shared" ca="1" si="15"/>
        <v>46084.816637962962</v>
      </c>
      <c r="P224" s="8">
        <f t="shared" ca="1" si="16"/>
        <v>46084.816637962962</v>
      </c>
      <c r="Q224">
        <f t="shared" si="17"/>
        <v>27719.150000000005</v>
      </c>
      <c r="R224">
        <f t="shared" si="18"/>
        <v>4.8</v>
      </c>
      <c r="S224">
        <f t="shared" si="19"/>
        <v>287.952</v>
      </c>
      <c r="T224" cm="1">
        <f t="array" ref="T224">SUMPRODUCT(H224:H472*1.2, I224:I472)</f>
        <v>33262.980000000003</v>
      </c>
      <c r="U224" cm="1">
        <f t="array" ref="U224">SUMPRODUCT(H224:H472, I224:I472*0.9)</f>
        <v>24947.235000000008</v>
      </c>
      <c r="V224" cm="1">
        <f t="array" ref="V224">SUMPRODUCT((H224:H472*1.15)*(I224:I472*0.95))</f>
        <v>30283.171375000002</v>
      </c>
      <c r="W224">
        <f>MONTH(Table1[[#This Row],[Date]])</f>
        <v>2</v>
      </c>
    </row>
    <row r="225" spans="1:23" ht="15.75" customHeight="1" x14ac:dyDescent="0.3">
      <c r="A225" s="4" t="s">
        <v>372</v>
      </c>
      <c r="B225" s="5">
        <v>45715</v>
      </c>
      <c r="C225" s="4" t="s">
        <v>95</v>
      </c>
      <c r="D225" s="4" t="s">
        <v>96</v>
      </c>
      <c r="E225" s="4" t="s">
        <v>107</v>
      </c>
      <c r="F225" s="4" t="s">
        <v>108</v>
      </c>
      <c r="G225" s="4" t="s">
        <v>48</v>
      </c>
      <c r="H225" s="4">
        <v>2</v>
      </c>
      <c r="I225" s="4">
        <v>299.99</v>
      </c>
      <c r="J225" s="4" t="s">
        <v>36</v>
      </c>
      <c r="K225" s="4" t="s">
        <v>37</v>
      </c>
      <c r="L225" s="4" t="s">
        <v>24</v>
      </c>
      <c r="M225" s="5">
        <v>44576</v>
      </c>
      <c r="N225" s="4">
        <v>599.98</v>
      </c>
      <c r="O225" s="7">
        <f t="shared" ca="1" si="15"/>
        <v>46084.816637962962</v>
      </c>
      <c r="P225" s="8">
        <f t="shared" ca="1" si="16"/>
        <v>46084.816637962962</v>
      </c>
      <c r="Q225">
        <f t="shared" si="17"/>
        <v>27479.190000000002</v>
      </c>
      <c r="R225">
        <f t="shared" si="18"/>
        <v>2.4</v>
      </c>
      <c r="S225">
        <f t="shared" si="19"/>
        <v>719.976</v>
      </c>
      <c r="T225" cm="1">
        <f t="array" ref="T225">SUMPRODUCT(H225:H473*1.2, I225:I473)</f>
        <v>32975.027999999998</v>
      </c>
      <c r="U225" cm="1">
        <f t="array" ref="U225">SUMPRODUCT(H225:H473, I225:I473*0.9)</f>
        <v>24731.271000000008</v>
      </c>
      <c r="V225" cm="1">
        <f t="array" ref="V225">SUMPRODUCT((H225:H473*1.15)*(I225:I473*0.95))</f>
        <v>30021.015074999999</v>
      </c>
      <c r="W225">
        <f>MONTH(Table1[[#This Row],[Date]])</f>
        <v>2</v>
      </c>
    </row>
    <row r="226" spans="1:23" ht="15.75" customHeight="1" x14ac:dyDescent="0.3">
      <c r="A226" s="4" t="s">
        <v>373</v>
      </c>
      <c r="B226" s="5">
        <v>45718</v>
      </c>
      <c r="C226" s="4" t="s">
        <v>57</v>
      </c>
      <c r="D226" s="4" t="s">
        <v>58</v>
      </c>
      <c r="E226" s="4" t="s">
        <v>46</v>
      </c>
      <c r="F226" s="4" t="s">
        <v>47</v>
      </c>
      <c r="G226" s="4" t="s">
        <v>48</v>
      </c>
      <c r="H226" s="4">
        <v>2</v>
      </c>
      <c r="I226" s="4">
        <v>149.99</v>
      </c>
      <c r="J226" s="4" t="s">
        <v>22</v>
      </c>
      <c r="K226" s="4" t="s">
        <v>23</v>
      </c>
      <c r="L226" s="4" t="s">
        <v>24</v>
      </c>
      <c r="M226" s="5">
        <v>45068</v>
      </c>
      <c r="N226" s="4">
        <v>299.98</v>
      </c>
      <c r="O226" s="7">
        <f t="shared" ca="1" si="15"/>
        <v>46084.816637962962</v>
      </c>
      <c r="P226" s="8">
        <f t="shared" ca="1" si="16"/>
        <v>46084.816637962962</v>
      </c>
      <c r="Q226">
        <f t="shared" si="17"/>
        <v>26879.210000000003</v>
      </c>
      <c r="R226">
        <f t="shared" si="18"/>
        <v>2.4</v>
      </c>
      <c r="S226">
        <f t="shared" si="19"/>
        <v>359.976</v>
      </c>
      <c r="T226" cm="1">
        <f t="array" ref="T226">SUMPRODUCT(H226:H474*1.2, I226:I474)</f>
        <v>32255.051999999996</v>
      </c>
      <c r="U226" cm="1">
        <f t="array" ref="U226">SUMPRODUCT(H226:H474, I226:I474*0.9)</f>
        <v>24191.289000000012</v>
      </c>
      <c r="V226" cm="1">
        <f t="array" ref="V226">SUMPRODUCT((H226:H474*1.15)*(I226:I474*0.95))</f>
        <v>29365.536925</v>
      </c>
      <c r="W226">
        <f>MONTH(Table1[[#This Row],[Date]])</f>
        <v>3</v>
      </c>
    </row>
    <row r="227" spans="1:23" ht="15.75" customHeight="1" x14ac:dyDescent="0.3">
      <c r="A227" s="4" t="s">
        <v>374</v>
      </c>
      <c r="B227" s="5">
        <v>45720</v>
      </c>
      <c r="C227" s="4" t="s">
        <v>228</v>
      </c>
      <c r="D227" s="4" t="s">
        <v>229</v>
      </c>
      <c r="E227" s="4" t="s">
        <v>82</v>
      </c>
      <c r="F227" s="4" t="s">
        <v>83</v>
      </c>
      <c r="G227" s="4" t="s">
        <v>21</v>
      </c>
      <c r="H227" s="4">
        <v>5</v>
      </c>
      <c r="I227" s="4">
        <v>699.99</v>
      </c>
      <c r="J227" s="4" t="s">
        <v>59</v>
      </c>
      <c r="K227" s="4" t="s">
        <v>65</v>
      </c>
      <c r="L227" s="4" t="s">
        <v>29</v>
      </c>
      <c r="M227" s="5">
        <v>45161</v>
      </c>
      <c r="N227" s="4">
        <v>3499.95</v>
      </c>
      <c r="O227" s="7">
        <f t="shared" ca="1" si="15"/>
        <v>46084.816637962962</v>
      </c>
      <c r="P227" s="8">
        <f t="shared" ca="1" si="16"/>
        <v>46084.816637962962</v>
      </c>
      <c r="Q227">
        <f t="shared" si="17"/>
        <v>26579.230000000003</v>
      </c>
      <c r="R227">
        <f t="shared" si="18"/>
        <v>6</v>
      </c>
      <c r="S227">
        <f t="shared" si="19"/>
        <v>4199.9400000000005</v>
      </c>
      <c r="T227" cm="1">
        <f t="array" ref="T227">SUMPRODUCT(H227:H475*1.2, I227:I475)</f>
        <v>31895.075999999997</v>
      </c>
      <c r="U227" cm="1">
        <f t="array" ref="U227">SUMPRODUCT(H227:H475, I227:I475*0.9)</f>
        <v>23921.307000000008</v>
      </c>
      <c r="V227" cm="1">
        <f t="array" ref="V227">SUMPRODUCT((H227:H475*1.15)*(I227:I475*0.95))</f>
        <v>29037.808775000001</v>
      </c>
      <c r="W227">
        <f>MONTH(Table1[[#This Row],[Date]])</f>
        <v>3</v>
      </c>
    </row>
    <row r="228" spans="1:23" ht="15.75" customHeight="1" x14ac:dyDescent="0.3">
      <c r="A228" s="4" t="s">
        <v>375</v>
      </c>
      <c r="B228" s="5">
        <v>45721</v>
      </c>
      <c r="C228" s="4" t="s">
        <v>77</v>
      </c>
      <c r="D228" s="4" t="s">
        <v>78</v>
      </c>
      <c r="E228" s="4" t="s">
        <v>33</v>
      </c>
      <c r="F228" s="4" t="s">
        <v>34</v>
      </c>
      <c r="G228" s="4" t="s">
        <v>35</v>
      </c>
      <c r="H228" s="4">
        <v>5</v>
      </c>
      <c r="I228" s="4">
        <v>59.99</v>
      </c>
      <c r="J228" s="4" t="s">
        <v>22</v>
      </c>
      <c r="K228" s="4" t="s">
        <v>52</v>
      </c>
      <c r="L228" s="4" t="s">
        <v>29</v>
      </c>
      <c r="M228" s="5">
        <v>45291</v>
      </c>
      <c r="N228" s="4">
        <v>299.95</v>
      </c>
      <c r="O228" s="7">
        <f t="shared" ca="1" si="15"/>
        <v>46084.816637962962</v>
      </c>
      <c r="P228" s="8">
        <f t="shared" ca="1" si="16"/>
        <v>46084.816637962962</v>
      </c>
      <c r="Q228">
        <f t="shared" si="17"/>
        <v>23079.280000000002</v>
      </c>
      <c r="R228">
        <f t="shared" si="18"/>
        <v>6</v>
      </c>
      <c r="S228">
        <f t="shared" si="19"/>
        <v>359.94</v>
      </c>
      <c r="T228" cm="1">
        <f t="array" ref="T228">SUMPRODUCT(H228:H476*1.2, I228:I476)</f>
        <v>27695.135999999999</v>
      </c>
      <c r="U228" cm="1">
        <f t="array" ref="U228">SUMPRODUCT(H228:H476, I228:I476*0.9)</f>
        <v>20771.352000000006</v>
      </c>
      <c r="V228" cm="1">
        <f t="array" ref="V228">SUMPRODUCT((H228:H476*1.15)*(I228:I476*0.95))</f>
        <v>25214.113399999998</v>
      </c>
      <c r="W228">
        <f>MONTH(Table1[[#This Row],[Date]])</f>
        <v>3</v>
      </c>
    </row>
    <row r="229" spans="1:23" ht="15.75" customHeight="1" x14ac:dyDescent="0.3">
      <c r="A229" s="4" t="s">
        <v>376</v>
      </c>
      <c r="B229" s="5">
        <v>45723</v>
      </c>
      <c r="C229" s="4" t="s">
        <v>17</v>
      </c>
      <c r="D229" s="4" t="s">
        <v>18</v>
      </c>
      <c r="E229" s="4" t="s">
        <v>119</v>
      </c>
      <c r="F229" s="4" t="s">
        <v>120</v>
      </c>
      <c r="G229" s="4" t="s">
        <v>21</v>
      </c>
      <c r="H229" s="4">
        <v>2</v>
      </c>
      <c r="I229" s="4">
        <v>89.99</v>
      </c>
      <c r="J229" s="4" t="s">
        <v>28</v>
      </c>
      <c r="K229" s="4" t="s">
        <v>52</v>
      </c>
      <c r="L229" s="4" t="s">
        <v>29</v>
      </c>
      <c r="M229" s="5">
        <v>45295</v>
      </c>
      <c r="N229" s="4">
        <v>179.98</v>
      </c>
      <c r="O229" s="7">
        <f t="shared" ca="1" si="15"/>
        <v>46084.816637962962</v>
      </c>
      <c r="P229" s="8">
        <f t="shared" ca="1" si="16"/>
        <v>46084.816637962962</v>
      </c>
      <c r="Q229">
        <f t="shared" si="17"/>
        <v>22779.33</v>
      </c>
      <c r="R229">
        <f t="shared" si="18"/>
        <v>2.4</v>
      </c>
      <c r="S229">
        <f t="shared" si="19"/>
        <v>215.97599999999997</v>
      </c>
      <c r="T229" cm="1">
        <f t="array" ref="T229">SUMPRODUCT(H229:H477*1.2, I229:I477)</f>
        <v>27335.196</v>
      </c>
      <c r="U229" cm="1">
        <f t="array" ref="U229">SUMPRODUCT(H229:H477, I229:I477*0.9)</f>
        <v>20501.397000000004</v>
      </c>
      <c r="V229" cm="1">
        <f t="array" ref="V229">SUMPRODUCT((H229:H477*1.15)*(I229:I477*0.95))</f>
        <v>24886.418024999999</v>
      </c>
      <c r="W229">
        <f>MONTH(Table1[[#This Row],[Date]])</f>
        <v>3</v>
      </c>
    </row>
    <row r="230" spans="1:23" ht="15.75" customHeight="1" x14ac:dyDescent="0.3">
      <c r="A230" s="4" t="s">
        <v>377</v>
      </c>
      <c r="B230" s="5">
        <v>45723</v>
      </c>
      <c r="C230" s="4" t="s">
        <v>122</v>
      </c>
      <c r="D230" s="4" t="s">
        <v>123</v>
      </c>
      <c r="E230" s="4" t="s">
        <v>19</v>
      </c>
      <c r="F230" s="4" t="s">
        <v>20</v>
      </c>
      <c r="G230" s="4" t="s">
        <v>21</v>
      </c>
      <c r="H230" s="4">
        <v>5</v>
      </c>
      <c r="I230" s="4">
        <v>249.99</v>
      </c>
      <c r="J230" s="4" t="s">
        <v>22</v>
      </c>
      <c r="K230" s="4" t="s">
        <v>65</v>
      </c>
      <c r="L230" s="4" t="s">
        <v>38</v>
      </c>
      <c r="M230" s="5">
        <v>44540</v>
      </c>
      <c r="N230" s="4">
        <v>1249.95</v>
      </c>
      <c r="O230" s="7">
        <f t="shared" ca="1" si="15"/>
        <v>46084.816637962962</v>
      </c>
      <c r="P230" s="8">
        <f t="shared" ca="1" si="16"/>
        <v>46084.816637962962</v>
      </c>
      <c r="Q230">
        <f t="shared" si="17"/>
        <v>22599.350000000002</v>
      </c>
      <c r="R230">
        <f t="shared" si="18"/>
        <v>6</v>
      </c>
      <c r="S230">
        <f t="shared" si="19"/>
        <v>1499.94</v>
      </c>
      <c r="T230" cm="1">
        <f t="array" ref="T230">SUMPRODUCT(H230:H478*1.2, I230:I478)</f>
        <v>27119.219999999998</v>
      </c>
      <c r="U230" cm="1">
        <f t="array" ref="U230">SUMPRODUCT(H230:H478, I230:I478*0.9)</f>
        <v>20339.415000000008</v>
      </c>
      <c r="V230" cm="1">
        <f t="array" ref="V230">SUMPRODUCT((H230:H478*1.15)*(I230:I478*0.95))</f>
        <v>24689.789874999999</v>
      </c>
      <c r="W230">
        <f>MONTH(Table1[[#This Row],[Date]])</f>
        <v>3</v>
      </c>
    </row>
    <row r="231" spans="1:23" ht="15.75" customHeight="1" x14ac:dyDescent="0.3">
      <c r="A231" s="4" t="s">
        <v>378</v>
      </c>
      <c r="B231" s="5">
        <v>45724</v>
      </c>
      <c r="C231" s="4" t="s">
        <v>228</v>
      </c>
      <c r="D231" s="4" t="s">
        <v>229</v>
      </c>
      <c r="E231" s="4" t="s">
        <v>46</v>
      </c>
      <c r="F231" s="4" t="s">
        <v>47</v>
      </c>
      <c r="G231" s="4" t="s">
        <v>48</v>
      </c>
      <c r="H231" s="4">
        <v>2</v>
      </c>
      <c r="I231" s="4">
        <v>149.99</v>
      </c>
      <c r="J231" s="4" t="s">
        <v>36</v>
      </c>
      <c r="K231" s="4" t="s">
        <v>23</v>
      </c>
      <c r="L231" s="4" t="s">
        <v>29</v>
      </c>
      <c r="M231" s="5">
        <v>44632</v>
      </c>
      <c r="N231" s="4">
        <v>299.98</v>
      </c>
      <c r="O231" s="7">
        <f t="shared" ca="1" si="15"/>
        <v>46084.816637962962</v>
      </c>
      <c r="P231" s="8">
        <f t="shared" ca="1" si="16"/>
        <v>46084.816637962962</v>
      </c>
      <c r="Q231">
        <f t="shared" si="17"/>
        <v>21349.4</v>
      </c>
      <c r="R231">
        <f t="shared" si="18"/>
        <v>2.4</v>
      </c>
      <c r="S231">
        <f t="shared" si="19"/>
        <v>359.976</v>
      </c>
      <c r="T231" cm="1">
        <f t="array" ref="T231">SUMPRODUCT(H231:H479*1.2, I231:I479)</f>
        <v>25619.279999999995</v>
      </c>
      <c r="U231" cm="1">
        <f t="array" ref="U231">SUMPRODUCT(H231:H479, I231:I479*0.9)</f>
        <v>19214.460000000006</v>
      </c>
      <c r="V231" cm="1">
        <f t="array" ref="V231">SUMPRODUCT((H231:H479*1.15)*(I231:I479*0.95))</f>
        <v>23324.219499999999</v>
      </c>
      <c r="W231">
        <f>MONTH(Table1[[#This Row],[Date]])</f>
        <v>3</v>
      </c>
    </row>
    <row r="232" spans="1:23" ht="15.75" customHeight="1" x14ac:dyDescent="0.3">
      <c r="A232" s="4" t="s">
        <v>379</v>
      </c>
      <c r="B232" s="5">
        <v>45724</v>
      </c>
      <c r="C232" s="4" t="s">
        <v>146</v>
      </c>
      <c r="D232" s="4" t="s">
        <v>147</v>
      </c>
      <c r="E232" s="4" t="s">
        <v>63</v>
      </c>
      <c r="F232" s="4" t="s">
        <v>64</v>
      </c>
      <c r="G232" s="4" t="s">
        <v>21</v>
      </c>
      <c r="H232" s="4">
        <v>5</v>
      </c>
      <c r="I232" s="4">
        <v>899.99</v>
      </c>
      <c r="J232" s="4" t="s">
        <v>36</v>
      </c>
      <c r="K232" s="4" t="s">
        <v>65</v>
      </c>
      <c r="L232" s="4" t="s">
        <v>29</v>
      </c>
      <c r="M232" s="5">
        <v>45389</v>
      </c>
      <c r="N232" s="4">
        <v>4499.95</v>
      </c>
      <c r="O232" s="7">
        <f t="shared" ca="1" si="15"/>
        <v>46084.816637962962</v>
      </c>
      <c r="P232" s="8">
        <f t="shared" ca="1" si="16"/>
        <v>46084.816637962962</v>
      </c>
      <c r="Q232">
        <f t="shared" si="17"/>
        <v>21049.42</v>
      </c>
      <c r="R232">
        <f t="shared" si="18"/>
        <v>6</v>
      </c>
      <c r="S232">
        <f t="shared" si="19"/>
        <v>5399.9400000000005</v>
      </c>
      <c r="T232" cm="1">
        <f t="array" ref="T232">SUMPRODUCT(H232:H480*1.2, I232:I480)</f>
        <v>25259.303999999996</v>
      </c>
      <c r="U232" cm="1">
        <f t="array" ref="U232">SUMPRODUCT(H232:H480, I232:I480*0.9)</f>
        <v>18944.478000000003</v>
      </c>
      <c r="V232" cm="1">
        <f t="array" ref="V232">SUMPRODUCT((H232:H480*1.15)*(I232:I480*0.95))</f>
        <v>22996.49135</v>
      </c>
      <c r="W232">
        <f>MONTH(Table1[[#This Row],[Date]])</f>
        <v>3</v>
      </c>
    </row>
    <row r="233" spans="1:23" ht="15.75" customHeight="1" x14ac:dyDescent="0.3">
      <c r="A233" s="4" t="s">
        <v>380</v>
      </c>
      <c r="B233" s="5">
        <v>45724</v>
      </c>
      <c r="C233" s="4" t="s">
        <v>57</v>
      </c>
      <c r="D233" s="4" t="s">
        <v>58</v>
      </c>
      <c r="E233" s="4" t="s">
        <v>46</v>
      </c>
      <c r="F233" s="4" t="s">
        <v>47</v>
      </c>
      <c r="G233" s="4" t="s">
        <v>48</v>
      </c>
      <c r="H233" s="4">
        <v>4</v>
      </c>
      <c r="I233" s="4">
        <v>149.99</v>
      </c>
      <c r="J233" s="4" t="s">
        <v>22</v>
      </c>
      <c r="K233" s="4" t="s">
        <v>23</v>
      </c>
      <c r="L233" s="4" t="s">
        <v>38</v>
      </c>
      <c r="M233" s="5">
        <v>45263</v>
      </c>
      <c r="N233" s="4">
        <v>599.96</v>
      </c>
      <c r="O233" s="7">
        <f t="shared" ca="1" si="15"/>
        <v>46084.816637962962</v>
      </c>
      <c r="P233" s="8">
        <f t="shared" ca="1" si="16"/>
        <v>46084.816637962962</v>
      </c>
      <c r="Q233">
        <f t="shared" si="17"/>
        <v>16549.469999999998</v>
      </c>
      <c r="R233">
        <f t="shared" si="18"/>
        <v>4.8</v>
      </c>
      <c r="S233">
        <f t="shared" si="19"/>
        <v>719.952</v>
      </c>
      <c r="T233" cm="1">
        <f t="array" ref="T233">SUMPRODUCT(H233:H481*1.2, I233:I481)</f>
        <v>19859.363999999998</v>
      </c>
      <c r="U233" cm="1">
        <f t="array" ref="U233">SUMPRODUCT(H233:H481, I233:I481*0.9)</f>
        <v>14894.522999999999</v>
      </c>
      <c r="V233" cm="1">
        <f t="array" ref="V233">SUMPRODUCT((H233:H481*1.15)*(I233:I481*0.95))</f>
        <v>18080.295975000001</v>
      </c>
      <c r="W233">
        <f>MONTH(Table1[[#This Row],[Date]])</f>
        <v>3</v>
      </c>
    </row>
    <row r="234" spans="1:23" ht="15.75" customHeight="1" x14ac:dyDescent="0.3">
      <c r="A234" s="4" t="s">
        <v>381</v>
      </c>
      <c r="B234" s="5">
        <v>45726</v>
      </c>
      <c r="C234" s="4" t="s">
        <v>146</v>
      </c>
      <c r="D234" s="4" t="s">
        <v>147</v>
      </c>
      <c r="E234" s="4" t="s">
        <v>19</v>
      </c>
      <c r="F234" s="4" t="s">
        <v>20</v>
      </c>
      <c r="G234" s="4" t="s">
        <v>21</v>
      </c>
      <c r="H234" s="4">
        <v>1</v>
      </c>
      <c r="I234" s="4">
        <v>249.99</v>
      </c>
      <c r="J234" s="4" t="s">
        <v>22</v>
      </c>
      <c r="K234" s="4" t="s">
        <v>42</v>
      </c>
      <c r="L234" s="4" t="s">
        <v>38</v>
      </c>
      <c r="M234" s="5">
        <v>45117</v>
      </c>
      <c r="N234" s="4">
        <v>249.99</v>
      </c>
      <c r="O234" s="7">
        <f t="shared" ca="1" si="15"/>
        <v>46084.816637962962</v>
      </c>
      <c r="P234" s="8">
        <f t="shared" ca="1" si="16"/>
        <v>46084.816637962962</v>
      </c>
      <c r="Q234">
        <f t="shared" si="17"/>
        <v>15949.509999999995</v>
      </c>
      <c r="R234">
        <f t="shared" si="18"/>
        <v>1.2</v>
      </c>
      <c r="S234">
        <f t="shared" si="19"/>
        <v>299.988</v>
      </c>
      <c r="T234" cm="1">
        <f t="array" ref="T234">SUMPRODUCT(H234:H482*1.2, I234:I482)</f>
        <v>19139.411999999997</v>
      </c>
      <c r="U234" cm="1">
        <f t="array" ref="U234">SUMPRODUCT(H234:H482, I234:I482*0.9)</f>
        <v>14354.558999999999</v>
      </c>
      <c r="V234" cm="1">
        <f t="array" ref="V234">SUMPRODUCT((H234:H482*1.15)*(I234:I482*0.95))</f>
        <v>17424.839674999999</v>
      </c>
      <c r="W234">
        <f>MONTH(Table1[[#This Row],[Date]])</f>
        <v>3</v>
      </c>
    </row>
    <row r="235" spans="1:23" ht="15.75" customHeight="1" x14ac:dyDescent="0.3">
      <c r="A235" s="4" t="s">
        <v>382</v>
      </c>
      <c r="B235" s="5">
        <v>45734</v>
      </c>
      <c r="C235" s="4" t="s">
        <v>194</v>
      </c>
      <c r="D235" s="4" t="s">
        <v>195</v>
      </c>
      <c r="E235" s="4" t="s">
        <v>33</v>
      </c>
      <c r="F235" s="4" t="s">
        <v>34</v>
      </c>
      <c r="G235" s="4" t="s">
        <v>35</v>
      </c>
      <c r="H235" s="4">
        <v>2</v>
      </c>
      <c r="I235" s="4">
        <v>59.99</v>
      </c>
      <c r="J235" s="4" t="s">
        <v>28</v>
      </c>
      <c r="K235" s="4" t="s">
        <v>52</v>
      </c>
      <c r="L235" s="4" t="s">
        <v>24</v>
      </c>
      <c r="M235" s="5">
        <v>45193</v>
      </c>
      <c r="N235" s="4">
        <v>119.98</v>
      </c>
      <c r="O235" s="7">
        <f t="shared" ca="1" si="15"/>
        <v>46084.816637962962</v>
      </c>
      <c r="P235" s="8">
        <f t="shared" ca="1" si="16"/>
        <v>46084.816637962962</v>
      </c>
      <c r="Q235">
        <f t="shared" si="17"/>
        <v>15699.519999999995</v>
      </c>
      <c r="R235">
        <f t="shared" si="18"/>
        <v>2.4</v>
      </c>
      <c r="S235">
        <f t="shared" si="19"/>
        <v>143.976</v>
      </c>
      <c r="T235" cm="1">
        <f t="array" ref="T235">SUMPRODUCT(H235:H483*1.2, I235:I483)</f>
        <v>18839.423999999995</v>
      </c>
      <c r="U235" cm="1">
        <f t="array" ref="U235">SUMPRODUCT(H235:H483, I235:I483*0.9)</f>
        <v>14129.567999999999</v>
      </c>
      <c r="V235" cm="1">
        <f t="array" ref="V235">SUMPRODUCT((H235:H483*1.15)*(I235:I483*0.95))</f>
        <v>17151.725599999998</v>
      </c>
      <c r="W235">
        <f>MONTH(Table1[[#This Row],[Date]])</f>
        <v>3</v>
      </c>
    </row>
    <row r="236" spans="1:23" ht="15.75" customHeight="1" x14ac:dyDescent="0.3">
      <c r="A236" s="4" t="s">
        <v>383</v>
      </c>
      <c r="B236" s="5">
        <v>45737</v>
      </c>
      <c r="C236" s="4" t="s">
        <v>134</v>
      </c>
      <c r="D236" s="4" t="s">
        <v>135</v>
      </c>
      <c r="E236" s="4" t="s">
        <v>46</v>
      </c>
      <c r="F236" s="4" t="s">
        <v>47</v>
      </c>
      <c r="G236" s="4" t="s">
        <v>48</v>
      </c>
      <c r="H236" s="4">
        <v>2</v>
      </c>
      <c r="I236" s="4">
        <v>149.99</v>
      </c>
      <c r="J236" s="4" t="s">
        <v>22</v>
      </c>
      <c r="K236" s="4" t="s">
        <v>52</v>
      </c>
      <c r="L236" s="4" t="s">
        <v>29</v>
      </c>
      <c r="M236" s="5">
        <v>45233</v>
      </c>
      <c r="N236" s="4">
        <v>299.98</v>
      </c>
      <c r="O236" s="7">
        <f t="shared" ca="1" si="15"/>
        <v>46084.816637962962</v>
      </c>
      <c r="P236" s="8">
        <f t="shared" ca="1" si="16"/>
        <v>46084.816637962962</v>
      </c>
      <c r="Q236">
        <f t="shared" si="17"/>
        <v>15579.539999999995</v>
      </c>
      <c r="R236">
        <f t="shared" si="18"/>
        <v>2.4</v>
      </c>
      <c r="S236">
        <f t="shared" si="19"/>
        <v>359.976</v>
      </c>
      <c r="T236" cm="1">
        <f t="array" ref="T236">SUMPRODUCT(H236:H484*1.2, I236:I484)</f>
        <v>18695.447999999997</v>
      </c>
      <c r="U236" cm="1">
        <f t="array" ref="U236">SUMPRODUCT(H236:H484, I236:I484*0.9)</f>
        <v>14021.585999999999</v>
      </c>
      <c r="V236" cm="1">
        <f t="array" ref="V236">SUMPRODUCT((H236:H484*1.15)*(I236:I484*0.95))</f>
        <v>17020.64745</v>
      </c>
      <c r="W236">
        <f>MONTH(Table1[[#This Row],[Date]])</f>
        <v>3</v>
      </c>
    </row>
    <row r="237" spans="1:23" ht="15.75" customHeight="1" x14ac:dyDescent="0.3">
      <c r="A237" s="4" t="s">
        <v>384</v>
      </c>
      <c r="B237" s="5">
        <v>45737</v>
      </c>
      <c r="C237" s="4" t="s">
        <v>152</v>
      </c>
      <c r="D237" s="4" t="s">
        <v>153</v>
      </c>
      <c r="E237" s="4" t="s">
        <v>63</v>
      </c>
      <c r="F237" s="4" t="s">
        <v>64</v>
      </c>
      <c r="G237" s="4" t="s">
        <v>21</v>
      </c>
      <c r="H237" s="4">
        <v>3</v>
      </c>
      <c r="I237" s="4">
        <v>899.99</v>
      </c>
      <c r="J237" s="4" t="s">
        <v>59</v>
      </c>
      <c r="K237" s="4" t="s">
        <v>42</v>
      </c>
      <c r="L237" s="4" t="s">
        <v>29</v>
      </c>
      <c r="M237" s="5">
        <v>44876</v>
      </c>
      <c r="N237" s="4">
        <v>2699.97</v>
      </c>
      <c r="O237" s="7">
        <f t="shared" ca="1" si="15"/>
        <v>46084.816637962962</v>
      </c>
      <c r="P237" s="8">
        <f t="shared" ca="1" si="16"/>
        <v>46084.816637962962</v>
      </c>
      <c r="Q237">
        <f t="shared" si="17"/>
        <v>15279.559999999996</v>
      </c>
      <c r="R237">
        <f t="shared" si="18"/>
        <v>3.5999999999999996</v>
      </c>
      <c r="S237">
        <f t="shared" si="19"/>
        <v>3239.9639999999995</v>
      </c>
      <c r="T237" cm="1">
        <f t="array" ref="T237">SUMPRODUCT(H237:H485*1.2, I237:I485)</f>
        <v>18335.471999999998</v>
      </c>
      <c r="U237" cm="1">
        <f t="array" ref="U237">SUMPRODUCT(H237:H485, I237:I485*0.9)</f>
        <v>13751.603999999999</v>
      </c>
      <c r="V237" cm="1">
        <f t="array" ref="V237">SUMPRODUCT((H237:H485*1.15)*(I237:I485*0.95))</f>
        <v>16692.919299999998</v>
      </c>
      <c r="W237">
        <f>MONTH(Table1[[#This Row],[Date]])</f>
        <v>3</v>
      </c>
    </row>
    <row r="238" spans="1:23" ht="15.75" customHeight="1" x14ac:dyDescent="0.3">
      <c r="A238" s="4" t="s">
        <v>385</v>
      </c>
      <c r="B238" s="5">
        <v>45737</v>
      </c>
      <c r="C238" s="4" t="s">
        <v>50</v>
      </c>
      <c r="D238" s="4" t="s">
        <v>51</v>
      </c>
      <c r="E238" s="4" t="s">
        <v>63</v>
      </c>
      <c r="F238" s="4" t="s">
        <v>64</v>
      </c>
      <c r="G238" s="4" t="s">
        <v>21</v>
      </c>
      <c r="H238" s="4">
        <v>3</v>
      </c>
      <c r="I238" s="4">
        <v>899.99</v>
      </c>
      <c r="J238" s="4" t="s">
        <v>36</v>
      </c>
      <c r="K238" s="4" t="s">
        <v>42</v>
      </c>
      <c r="L238" s="4" t="s">
        <v>24</v>
      </c>
      <c r="M238" s="5">
        <v>44975</v>
      </c>
      <c r="N238" s="4">
        <v>2699.97</v>
      </c>
      <c r="O238" s="7">
        <f t="shared" ca="1" si="15"/>
        <v>46084.816637962962</v>
      </c>
      <c r="P238" s="8">
        <f t="shared" ca="1" si="16"/>
        <v>46084.816637962962</v>
      </c>
      <c r="Q238">
        <f t="shared" si="17"/>
        <v>12579.589999999997</v>
      </c>
      <c r="R238">
        <f t="shared" si="18"/>
        <v>3.5999999999999996</v>
      </c>
      <c r="S238">
        <f t="shared" si="19"/>
        <v>3239.9639999999995</v>
      </c>
      <c r="T238" cm="1">
        <f t="array" ref="T238">SUMPRODUCT(H238:H486*1.2, I238:I486)</f>
        <v>15095.508</v>
      </c>
      <c r="U238" cm="1">
        <f t="array" ref="U238">SUMPRODUCT(H238:H486, I238:I486*0.9)</f>
        <v>11321.630999999999</v>
      </c>
      <c r="V238" cm="1">
        <f t="array" ref="V238">SUMPRODUCT((H238:H486*1.15)*(I238:I486*0.95))</f>
        <v>13743.202075000001</v>
      </c>
      <c r="W238">
        <f>MONTH(Table1[[#This Row],[Date]])</f>
        <v>3</v>
      </c>
    </row>
    <row r="239" spans="1:23" ht="15.75" customHeight="1" x14ac:dyDescent="0.3">
      <c r="A239" s="4" t="s">
        <v>386</v>
      </c>
      <c r="B239" s="5">
        <v>45739</v>
      </c>
      <c r="C239" s="4" t="s">
        <v>17</v>
      </c>
      <c r="D239" s="4" t="s">
        <v>18</v>
      </c>
      <c r="E239" s="4" t="s">
        <v>107</v>
      </c>
      <c r="F239" s="4" t="s">
        <v>108</v>
      </c>
      <c r="G239" s="4" t="s">
        <v>48</v>
      </c>
      <c r="H239" s="4">
        <v>3</v>
      </c>
      <c r="I239" s="4">
        <v>299.99</v>
      </c>
      <c r="J239" s="4" t="s">
        <v>28</v>
      </c>
      <c r="K239" s="4" t="s">
        <v>52</v>
      </c>
      <c r="L239" s="4" t="s">
        <v>29</v>
      </c>
      <c r="M239" s="5">
        <v>45234</v>
      </c>
      <c r="N239" s="4">
        <v>899.97</v>
      </c>
      <c r="O239" s="7">
        <f t="shared" ca="1" si="15"/>
        <v>46084.816637962962</v>
      </c>
      <c r="P239" s="8">
        <f t="shared" ca="1" si="16"/>
        <v>46084.816637962962</v>
      </c>
      <c r="Q239">
        <f t="shared" si="17"/>
        <v>9879.619999999999</v>
      </c>
      <c r="R239">
        <f t="shared" si="18"/>
        <v>3.5999999999999996</v>
      </c>
      <c r="S239">
        <f t="shared" si="19"/>
        <v>1079.9639999999999</v>
      </c>
      <c r="T239" cm="1">
        <f t="array" ref="T239">SUMPRODUCT(H239:H487*1.2, I239:I487)</f>
        <v>11855.544</v>
      </c>
      <c r="U239" cm="1">
        <f t="array" ref="U239">SUMPRODUCT(H239:H487, I239:I487*0.9)</f>
        <v>8891.6579999999994</v>
      </c>
      <c r="V239" cm="1">
        <f t="array" ref="V239">SUMPRODUCT((H239:H487*1.15)*(I239:I487*0.95))</f>
        <v>10793.484850000001</v>
      </c>
      <c r="W239">
        <f>MONTH(Table1[[#This Row],[Date]])</f>
        <v>3</v>
      </c>
    </row>
    <row r="240" spans="1:23" ht="15.75" customHeight="1" x14ac:dyDescent="0.3">
      <c r="A240" s="4" t="s">
        <v>387</v>
      </c>
      <c r="B240" s="5">
        <v>45740</v>
      </c>
      <c r="C240" s="4" t="s">
        <v>388</v>
      </c>
      <c r="D240" s="4" t="s">
        <v>389</v>
      </c>
      <c r="E240" s="4" t="s">
        <v>46</v>
      </c>
      <c r="F240" s="4" t="s">
        <v>47</v>
      </c>
      <c r="G240" s="4" t="s">
        <v>48</v>
      </c>
      <c r="H240" s="4">
        <v>4</v>
      </c>
      <c r="I240" s="4">
        <v>149.99</v>
      </c>
      <c r="J240" s="4" t="s">
        <v>36</v>
      </c>
      <c r="K240" s="4" t="s">
        <v>52</v>
      </c>
      <c r="L240" s="4" t="s">
        <v>38</v>
      </c>
      <c r="M240" s="5">
        <v>44560</v>
      </c>
      <c r="N240" s="4">
        <v>599.96</v>
      </c>
      <c r="O240" s="7">
        <f t="shared" ca="1" si="15"/>
        <v>46084.816637962962</v>
      </c>
      <c r="P240" s="8">
        <f t="shared" ca="1" si="16"/>
        <v>46084.816637962962</v>
      </c>
      <c r="Q240">
        <f t="shared" si="17"/>
        <v>8979.65</v>
      </c>
      <c r="R240">
        <f t="shared" si="18"/>
        <v>4.8</v>
      </c>
      <c r="S240">
        <f t="shared" si="19"/>
        <v>719.952</v>
      </c>
      <c r="T240" cm="1">
        <f t="array" ref="T240">SUMPRODUCT(H240:H488*1.2, I240:I488)</f>
        <v>10775.58</v>
      </c>
      <c r="U240" cm="1">
        <f t="array" ref="U240">SUMPRODUCT(H240:H488, I240:I488*0.9)</f>
        <v>8081.6849999999995</v>
      </c>
      <c r="V240" cm="1">
        <f t="array" ref="V240">SUMPRODUCT((H240:H488*1.15)*(I240:I488*0.95))</f>
        <v>9810.2676250000004</v>
      </c>
      <c r="W240">
        <f>MONTH(Table1[[#This Row],[Date]])</f>
        <v>3</v>
      </c>
    </row>
    <row r="241" spans="1:23" ht="15.75" customHeight="1" x14ac:dyDescent="0.3">
      <c r="A241" s="4" t="s">
        <v>390</v>
      </c>
      <c r="B241" s="5">
        <v>45743</v>
      </c>
      <c r="C241" s="4" t="s">
        <v>104</v>
      </c>
      <c r="D241" s="4" t="s">
        <v>105</v>
      </c>
      <c r="E241" s="4" t="s">
        <v>116</v>
      </c>
      <c r="F241" s="4" t="s">
        <v>117</v>
      </c>
      <c r="G241" s="4" t="s">
        <v>35</v>
      </c>
      <c r="H241" s="4">
        <v>4</v>
      </c>
      <c r="I241" s="4">
        <v>79.989999999999995</v>
      </c>
      <c r="J241" s="4" t="s">
        <v>28</v>
      </c>
      <c r="K241" s="4" t="s">
        <v>23</v>
      </c>
      <c r="L241" s="4" t="s">
        <v>24</v>
      </c>
      <c r="M241" s="5">
        <v>45288</v>
      </c>
      <c r="N241" s="4">
        <v>319.95999999999998</v>
      </c>
      <c r="O241" s="7">
        <f t="shared" ca="1" si="15"/>
        <v>46084.816637962962</v>
      </c>
      <c r="P241" s="8">
        <f t="shared" ca="1" si="16"/>
        <v>46084.816637962962</v>
      </c>
      <c r="Q241">
        <f t="shared" si="17"/>
        <v>8379.6899999999987</v>
      </c>
      <c r="R241">
        <f t="shared" si="18"/>
        <v>4.8</v>
      </c>
      <c r="S241">
        <f t="shared" si="19"/>
        <v>383.95199999999994</v>
      </c>
      <c r="T241" cm="1">
        <f t="array" ref="T241">SUMPRODUCT(H241:H489*1.2, I241:I489)</f>
        <v>10055.627999999999</v>
      </c>
      <c r="U241" cm="1">
        <f t="array" ref="U241">SUMPRODUCT(H241:H489, I241:I489*0.9)</f>
        <v>7541.7209999999995</v>
      </c>
      <c r="V241" cm="1">
        <f t="array" ref="V241">SUMPRODUCT((H241:H489*1.15)*(I241:I489*0.95))</f>
        <v>9154.8113250000006</v>
      </c>
      <c r="W241">
        <f>MONTH(Table1[[#This Row],[Date]])</f>
        <v>3</v>
      </c>
    </row>
    <row r="242" spans="1:23" ht="15.75" customHeight="1" x14ac:dyDescent="0.3">
      <c r="A242" s="4" t="s">
        <v>391</v>
      </c>
      <c r="B242" s="5">
        <v>45745</v>
      </c>
      <c r="C242" s="4" t="s">
        <v>187</v>
      </c>
      <c r="D242" s="4" t="s">
        <v>188</v>
      </c>
      <c r="E242" s="4" t="s">
        <v>119</v>
      </c>
      <c r="F242" s="4" t="s">
        <v>120</v>
      </c>
      <c r="G242" s="4" t="s">
        <v>21</v>
      </c>
      <c r="H242" s="4">
        <v>5</v>
      </c>
      <c r="I242" s="4">
        <v>89.99</v>
      </c>
      <c r="J242" s="4" t="s">
        <v>36</v>
      </c>
      <c r="K242" s="4" t="s">
        <v>37</v>
      </c>
      <c r="L242" s="4" t="s">
        <v>24</v>
      </c>
      <c r="M242" s="5">
        <v>44704</v>
      </c>
      <c r="N242" s="4">
        <v>449.95</v>
      </c>
      <c r="O242" s="7">
        <f t="shared" ca="1" si="15"/>
        <v>46084.816637962962</v>
      </c>
      <c r="P242" s="8">
        <f t="shared" ca="1" si="16"/>
        <v>46084.816637962962</v>
      </c>
      <c r="Q242">
        <f t="shared" si="17"/>
        <v>8059.7300000000005</v>
      </c>
      <c r="R242">
        <f t="shared" si="18"/>
        <v>6</v>
      </c>
      <c r="S242">
        <f t="shared" si="19"/>
        <v>539.93999999999994</v>
      </c>
      <c r="T242" cm="1">
        <f t="array" ref="T242">SUMPRODUCT(H242:H490*1.2, I242:I490)</f>
        <v>9671.6760000000013</v>
      </c>
      <c r="U242" cm="1">
        <f t="array" ref="U242">SUMPRODUCT(H242:H490, I242:I490*0.9)</f>
        <v>7253.7569999999996</v>
      </c>
      <c r="V242" cm="1">
        <f t="array" ref="V242">SUMPRODUCT((H242:H490*1.15)*(I242:I490*0.95))</f>
        <v>8805.2550250000004</v>
      </c>
      <c r="W242">
        <f>MONTH(Table1[[#This Row],[Date]])</f>
        <v>3</v>
      </c>
    </row>
    <row r="243" spans="1:23" ht="15.75" customHeight="1" x14ac:dyDescent="0.3">
      <c r="A243" s="4" t="s">
        <v>392</v>
      </c>
      <c r="B243" s="5">
        <v>45746</v>
      </c>
      <c r="C243" s="4" t="s">
        <v>95</v>
      </c>
      <c r="D243" s="4" t="s">
        <v>96</v>
      </c>
      <c r="E243" s="4" t="s">
        <v>46</v>
      </c>
      <c r="F243" s="4" t="s">
        <v>47</v>
      </c>
      <c r="G243" s="4" t="s">
        <v>48</v>
      </c>
      <c r="H243" s="4">
        <v>3</v>
      </c>
      <c r="I243" s="4">
        <v>149.99</v>
      </c>
      <c r="J243" s="4" t="s">
        <v>36</v>
      </c>
      <c r="K243" s="4" t="s">
        <v>23</v>
      </c>
      <c r="L243" s="4" t="s">
        <v>38</v>
      </c>
      <c r="M243" s="5">
        <v>45171</v>
      </c>
      <c r="N243" s="4">
        <v>449.97</v>
      </c>
      <c r="O243" s="7">
        <f t="shared" ca="1" si="15"/>
        <v>46084.816637962962</v>
      </c>
      <c r="P243" s="8">
        <f t="shared" ca="1" si="16"/>
        <v>46084.816637962962</v>
      </c>
      <c r="Q243">
        <f t="shared" si="17"/>
        <v>7609.78</v>
      </c>
      <c r="R243">
        <f t="shared" si="18"/>
        <v>3.5999999999999996</v>
      </c>
      <c r="S243">
        <f t="shared" si="19"/>
        <v>539.96399999999994</v>
      </c>
      <c r="T243" cm="1">
        <f t="array" ref="T243">SUMPRODUCT(H243:H491*1.2, I243:I491)</f>
        <v>9131.735999999999</v>
      </c>
      <c r="U243" cm="1">
        <f t="array" ref="U243">SUMPRODUCT(H243:H491, I243:I491*0.9)</f>
        <v>6848.8019999999997</v>
      </c>
      <c r="V243" cm="1">
        <f t="array" ref="V243">SUMPRODUCT((H243:H491*1.15)*(I243:I491*0.95))</f>
        <v>8313.6846499999992</v>
      </c>
      <c r="W243">
        <f>MONTH(Table1[[#This Row],[Date]])</f>
        <v>3</v>
      </c>
    </row>
    <row r="244" spans="1:23" ht="15.75" customHeight="1" x14ac:dyDescent="0.3">
      <c r="A244" s="4" t="s">
        <v>393</v>
      </c>
      <c r="B244" s="5">
        <v>45746</v>
      </c>
      <c r="C244" s="4" t="s">
        <v>67</v>
      </c>
      <c r="D244" s="4" t="s">
        <v>68</v>
      </c>
      <c r="E244" s="4" t="s">
        <v>119</v>
      </c>
      <c r="F244" s="4" t="s">
        <v>120</v>
      </c>
      <c r="G244" s="4" t="s">
        <v>21</v>
      </c>
      <c r="H244" s="4">
        <v>2</v>
      </c>
      <c r="I244" s="4">
        <v>89.99</v>
      </c>
      <c r="J244" s="4" t="s">
        <v>59</v>
      </c>
      <c r="K244" s="4" t="s">
        <v>52</v>
      </c>
      <c r="L244" s="4" t="s">
        <v>29</v>
      </c>
      <c r="M244" s="5">
        <v>44522</v>
      </c>
      <c r="N244" s="4">
        <v>179.98</v>
      </c>
      <c r="O244" s="7">
        <f t="shared" ca="1" si="15"/>
        <v>46084.816637962962</v>
      </c>
      <c r="P244" s="8">
        <f t="shared" ca="1" si="16"/>
        <v>46084.816637962962</v>
      </c>
      <c r="Q244">
        <f t="shared" si="17"/>
        <v>7159.81</v>
      </c>
      <c r="R244">
        <f t="shared" si="18"/>
        <v>2.4</v>
      </c>
      <c r="S244">
        <f t="shared" si="19"/>
        <v>215.97599999999997</v>
      </c>
      <c r="T244" cm="1">
        <f t="array" ref="T244">SUMPRODUCT(H244:H492*1.2, I244:I492)</f>
        <v>8591.771999999999</v>
      </c>
      <c r="U244" cm="1">
        <f t="array" ref="U244">SUMPRODUCT(H244:H492, I244:I492*0.9)</f>
        <v>6443.8289999999997</v>
      </c>
      <c r="V244" cm="1">
        <f t="array" ref="V244">SUMPRODUCT((H244:H492*1.15)*(I244:I492*0.95))</f>
        <v>7822.0924249999989</v>
      </c>
      <c r="W244">
        <f>MONTH(Table1[[#This Row],[Date]])</f>
        <v>3</v>
      </c>
    </row>
    <row r="245" spans="1:23" ht="15.75" customHeight="1" x14ac:dyDescent="0.3">
      <c r="A245" s="4" t="s">
        <v>394</v>
      </c>
      <c r="B245" s="5">
        <v>45748</v>
      </c>
      <c r="C245" s="4" t="s">
        <v>104</v>
      </c>
      <c r="D245" s="4" t="s">
        <v>105</v>
      </c>
      <c r="E245" s="4" t="s">
        <v>82</v>
      </c>
      <c r="F245" s="4" t="s">
        <v>83</v>
      </c>
      <c r="G245" s="4" t="s">
        <v>21</v>
      </c>
      <c r="H245" s="4">
        <v>2</v>
      </c>
      <c r="I245" s="4">
        <v>699.99</v>
      </c>
      <c r="J245" s="4" t="s">
        <v>36</v>
      </c>
      <c r="K245" s="4" t="s">
        <v>42</v>
      </c>
      <c r="L245" s="4" t="s">
        <v>38</v>
      </c>
      <c r="M245" s="5">
        <v>44618</v>
      </c>
      <c r="N245" s="4">
        <v>1399.98</v>
      </c>
      <c r="O245" s="7">
        <f t="shared" ca="1" si="15"/>
        <v>46084.816637962962</v>
      </c>
      <c r="P245" s="8">
        <f t="shared" ca="1" si="16"/>
        <v>46084.816637962962</v>
      </c>
      <c r="Q245">
        <f t="shared" si="17"/>
        <v>6979.829999999999</v>
      </c>
      <c r="R245">
        <f t="shared" si="18"/>
        <v>2.4</v>
      </c>
      <c r="S245">
        <f t="shared" si="19"/>
        <v>1679.9759999999999</v>
      </c>
      <c r="T245" cm="1">
        <f t="array" ref="T245">SUMPRODUCT(H245:H493*1.2, I245:I493)</f>
        <v>8375.7959999999985</v>
      </c>
      <c r="U245" cm="1">
        <f t="array" ref="U245">SUMPRODUCT(H245:H493, I245:I493*0.9)</f>
        <v>6281.8469999999998</v>
      </c>
      <c r="V245" cm="1">
        <f t="array" ref="V245">SUMPRODUCT((H245:H493*1.15)*(I245:I493*0.95))</f>
        <v>7625.4642749999985</v>
      </c>
      <c r="W245">
        <f>MONTH(Table1[[#This Row],[Date]])</f>
        <v>4</v>
      </c>
    </row>
    <row r="246" spans="1:23" ht="15.75" customHeight="1" x14ac:dyDescent="0.3">
      <c r="A246" s="4" t="s">
        <v>395</v>
      </c>
      <c r="B246" s="5">
        <v>45749</v>
      </c>
      <c r="C246" s="4" t="s">
        <v>125</v>
      </c>
      <c r="D246" s="4" t="s">
        <v>126</v>
      </c>
      <c r="E246" s="4" t="s">
        <v>63</v>
      </c>
      <c r="F246" s="4" t="s">
        <v>64</v>
      </c>
      <c r="G246" s="4" t="s">
        <v>21</v>
      </c>
      <c r="H246" s="4">
        <v>3</v>
      </c>
      <c r="I246" s="4">
        <v>899.99</v>
      </c>
      <c r="J246" s="4" t="s">
        <v>22</v>
      </c>
      <c r="K246" s="4" t="s">
        <v>23</v>
      </c>
      <c r="L246" s="4" t="s">
        <v>38</v>
      </c>
      <c r="M246" s="5">
        <v>44953</v>
      </c>
      <c r="N246" s="4">
        <v>2699.97</v>
      </c>
      <c r="O246" s="7">
        <f t="shared" ca="1" si="15"/>
        <v>46084.816637962962</v>
      </c>
      <c r="P246" s="8">
        <f t="shared" ca="1" si="16"/>
        <v>46084.816637962962</v>
      </c>
      <c r="Q246">
        <f t="shared" si="17"/>
        <v>5579.8499999999995</v>
      </c>
      <c r="R246">
        <f t="shared" si="18"/>
        <v>3.5999999999999996</v>
      </c>
      <c r="S246">
        <f t="shared" si="19"/>
        <v>3239.9639999999995</v>
      </c>
      <c r="T246" cm="1">
        <f t="array" ref="T246">SUMPRODUCT(H246:H494*1.2, I246:I494)</f>
        <v>6695.8199999999988</v>
      </c>
      <c r="U246" cm="1">
        <f t="array" ref="U246">SUMPRODUCT(H246:H494, I246:I494*0.9)</f>
        <v>5021.8649999999998</v>
      </c>
      <c r="V246" cm="1">
        <f t="array" ref="V246">SUMPRODUCT((H246:H494*1.15)*(I246:I494*0.95))</f>
        <v>6095.9861249999994</v>
      </c>
      <c r="W246">
        <f>MONTH(Table1[[#This Row],[Date]])</f>
        <v>4</v>
      </c>
    </row>
    <row r="247" spans="1:23" ht="15.75" customHeight="1" x14ac:dyDescent="0.3">
      <c r="A247" s="4" t="s">
        <v>396</v>
      </c>
      <c r="B247" s="5">
        <v>45755</v>
      </c>
      <c r="C247" s="4" t="s">
        <v>95</v>
      </c>
      <c r="D247" s="4" t="s">
        <v>96</v>
      </c>
      <c r="E247" s="4" t="s">
        <v>116</v>
      </c>
      <c r="F247" s="4" t="s">
        <v>117</v>
      </c>
      <c r="G247" s="4" t="s">
        <v>35</v>
      </c>
      <c r="H247" s="4">
        <v>3</v>
      </c>
      <c r="I247" s="4">
        <v>79.989999999999995</v>
      </c>
      <c r="J247" s="4" t="s">
        <v>28</v>
      </c>
      <c r="K247" s="4" t="s">
        <v>42</v>
      </c>
      <c r="L247" s="4" t="s">
        <v>24</v>
      </c>
      <c r="M247" s="5">
        <v>44511</v>
      </c>
      <c r="N247" s="4">
        <v>239.97</v>
      </c>
      <c r="O247" s="7">
        <f t="shared" ca="1" si="15"/>
        <v>46084.816637962962</v>
      </c>
      <c r="P247" s="8">
        <f t="shared" ca="1" si="16"/>
        <v>46084.816637962962</v>
      </c>
      <c r="Q247">
        <f t="shared" si="17"/>
        <v>2879.88</v>
      </c>
      <c r="R247">
        <f t="shared" si="18"/>
        <v>3.5999999999999996</v>
      </c>
      <c r="S247">
        <f t="shared" si="19"/>
        <v>287.96399999999994</v>
      </c>
      <c r="T247" cm="1">
        <f t="array" ref="T247">SUMPRODUCT(H247:H495*1.2, I247:I495)</f>
        <v>3455.8559999999998</v>
      </c>
      <c r="U247" cm="1">
        <f t="array" ref="U247">SUMPRODUCT(H247:H495, I247:I495*0.9)</f>
        <v>2591.8919999999998</v>
      </c>
      <c r="V247" cm="1">
        <f t="array" ref="V247">SUMPRODUCT((H247:H495*1.15)*(I247:I495*0.95))</f>
        <v>3146.2688999999996</v>
      </c>
      <c r="W247">
        <f>MONTH(Table1[[#This Row],[Date]])</f>
        <v>4</v>
      </c>
    </row>
    <row r="248" spans="1:23" ht="15.75" customHeight="1" x14ac:dyDescent="0.3">
      <c r="A248" s="4" t="s">
        <v>397</v>
      </c>
      <c r="B248" s="5">
        <v>45756</v>
      </c>
      <c r="C248" s="4" t="s">
        <v>61</v>
      </c>
      <c r="D248" s="4" t="s">
        <v>62</v>
      </c>
      <c r="E248" s="4" t="s">
        <v>119</v>
      </c>
      <c r="F248" s="4" t="s">
        <v>120</v>
      </c>
      <c r="G248" s="4" t="s">
        <v>21</v>
      </c>
      <c r="H248" s="4">
        <v>1</v>
      </c>
      <c r="I248" s="4">
        <v>89.99</v>
      </c>
      <c r="J248" s="4" t="s">
        <v>59</v>
      </c>
      <c r="K248" s="4" t="s">
        <v>65</v>
      </c>
      <c r="L248" s="4" t="s">
        <v>24</v>
      </c>
      <c r="M248" s="5">
        <v>45346</v>
      </c>
      <c r="N248" s="4">
        <v>89.99</v>
      </c>
      <c r="O248" s="7">
        <f t="shared" ca="1" si="15"/>
        <v>46084.816637962962</v>
      </c>
      <c r="P248" s="8">
        <f t="shared" ca="1" si="16"/>
        <v>46084.816637962962</v>
      </c>
      <c r="Q248">
        <f t="shared" si="17"/>
        <v>2639.91</v>
      </c>
      <c r="R248">
        <f t="shared" si="18"/>
        <v>1.2</v>
      </c>
      <c r="S248">
        <f t="shared" si="19"/>
        <v>107.98799999999999</v>
      </c>
      <c r="T248" cm="1">
        <f t="array" ref="T248">SUMPRODUCT(H248:H496*1.2, I248:I496)</f>
        <v>3167.8919999999998</v>
      </c>
      <c r="U248" cm="1">
        <f t="array" ref="U248">SUMPRODUCT(H248:H496, I248:I496*0.9)</f>
        <v>2375.9189999999999</v>
      </c>
      <c r="V248" cm="1">
        <f t="array" ref="V248">SUMPRODUCT((H248:H496*1.15)*(I248:I496*0.95))</f>
        <v>2884.1016749999994</v>
      </c>
      <c r="W248">
        <f>MONTH(Table1[[#This Row],[Date]])</f>
        <v>4</v>
      </c>
    </row>
    <row r="249" spans="1:23" ht="15.75" customHeight="1" x14ac:dyDescent="0.3">
      <c r="A249" s="4" t="s">
        <v>398</v>
      </c>
      <c r="B249" s="5">
        <v>45758</v>
      </c>
      <c r="C249" s="4" t="s">
        <v>295</v>
      </c>
      <c r="D249" s="4" t="s">
        <v>296</v>
      </c>
      <c r="E249" s="4" t="s">
        <v>82</v>
      </c>
      <c r="F249" s="4" t="s">
        <v>83</v>
      </c>
      <c r="G249" s="4" t="s">
        <v>21</v>
      </c>
      <c r="H249" s="4">
        <v>3</v>
      </c>
      <c r="I249" s="4">
        <v>699.99</v>
      </c>
      <c r="J249" s="4" t="s">
        <v>36</v>
      </c>
      <c r="K249" s="4" t="s">
        <v>42</v>
      </c>
      <c r="L249" s="4" t="s">
        <v>24</v>
      </c>
      <c r="M249" s="5">
        <v>44909</v>
      </c>
      <c r="N249" s="4">
        <v>2099.9699999999998</v>
      </c>
      <c r="O249" s="7">
        <f t="shared" ca="1" si="15"/>
        <v>46084.816637962962</v>
      </c>
      <c r="P249" s="8">
        <f t="shared" ca="1" si="16"/>
        <v>46084.816637962962</v>
      </c>
      <c r="Q249">
        <f t="shared" si="17"/>
        <v>2549.92</v>
      </c>
      <c r="R249">
        <f t="shared" si="18"/>
        <v>3.5999999999999996</v>
      </c>
      <c r="S249">
        <f t="shared" si="19"/>
        <v>2519.9639999999999</v>
      </c>
      <c r="T249" cm="1">
        <f t="array" ref="T249">SUMPRODUCT(H249:H497*1.2, I249:I497)</f>
        <v>3059.904</v>
      </c>
      <c r="U249" cm="1">
        <f t="array" ref="U249">SUMPRODUCT(H249:H497, I249:I497*0.9)</f>
        <v>2294.9279999999999</v>
      </c>
      <c r="V249" cm="1">
        <f t="array" ref="V249">SUMPRODUCT((H249:H497*1.15)*(I249:I497*0.95))</f>
        <v>2785.7875999999997</v>
      </c>
      <c r="W249">
        <f>MONTH(Table1[[#This Row],[Date]])</f>
        <v>4</v>
      </c>
    </row>
    <row r="250" spans="1:23" ht="15.75" customHeight="1" x14ac:dyDescent="0.3">
      <c r="A250" s="4" t="s">
        <v>399</v>
      </c>
      <c r="B250" s="5">
        <v>45758</v>
      </c>
      <c r="C250" s="4" t="s">
        <v>228</v>
      </c>
      <c r="D250" s="4" t="s">
        <v>229</v>
      </c>
      <c r="E250" s="4" t="s">
        <v>119</v>
      </c>
      <c r="F250" s="4" t="s">
        <v>120</v>
      </c>
      <c r="G250" s="4" t="s">
        <v>21</v>
      </c>
      <c r="H250" s="4">
        <v>2</v>
      </c>
      <c r="I250" s="4">
        <v>89.99</v>
      </c>
      <c r="J250" s="4" t="s">
        <v>59</v>
      </c>
      <c r="K250" s="4" t="s">
        <v>65</v>
      </c>
      <c r="L250" s="4" t="s">
        <v>24</v>
      </c>
      <c r="M250" s="5">
        <v>45088</v>
      </c>
      <c r="N250" s="4">
        <v>179.98</v>
      </c>
      <c r="O250" s="7">
        <f t="shared" ca="1" si="15"/>
        <v>46084.816637962962</v>
      </c>
      <c r="P250" s="8">
        <f t="shared" ca="1" si="16"/>
        <v>46084.816637962962</v>
      </c>
      <c r="Q250">
        <f t="shared" si="17"/>
        <v>449.95000000000005</v>
      </c>
      <c r="R250">
        <f t="shared" si="18"/>
        <v>2.4</v>
      </c>
      <c r="S250">
        <f t="shared" si="19"/>
        <v>215.97599999999997</v>
      </c>
      <c r="T250" cm="1">
        <f t="array" ref="T250">SUMPRODUCT(H250:H498*1.2, I250:I498)</f>
        <v>539.93999999999994</v>
      </c>
      <c r="U250" cm="1">
        <f t="array" ref="U250">SUMPRODUCT(H250:H498, I250:I498*0.9)</f>
        <v>404.95500000000004</v>
      </c>
      <c r="V250" cm="1">
        <f t="array" ref="V250">SUMPRODUCT((H250:H498*1.15)*(I250:I498*0.95))</f>
        <v>491.5703749999999</v>
      </c>
      <c r="W250">
        <f>MONTH(Table1[[#This Row],[Date]])</f>
        <v>4</v>
      </c>
    </row>
    <row r="251" spans="1:23" ht="15.75" customHeight="1" x14ac:dyDescent="0.3">
      <c r="A251" s="4" t="s">
        <v>400</v>
      </c>
      <c r="B251" s="5">
        <v>45758</v>
      </c>
      <c r="C251" s="4" t="s">
        <v>140</v>
      </c>
      <c r="D251" s="4" t="s">
        <v>141</v>
      </c>
      <c r="E251" s="4" t="s">
        <v>119</v>
      </c>
      <c r="F251" s="4" t="s">
        <v>120</v>
      </c>
      <c r="G251" s="4" t="s">
        <v>21</v>
      </c>
      <c r="H251" s="4">
        <v>3</v>
      </c>
      <c r="I251" s="4">
        <v>89.99</v>
      </c>
      <c r="J251" s="4" t="s">
        <v>59</v>
      </c>
      <c r="K251" s="4" t="s">
        <v>42</v>
      </c>
      <c r="L251" s="4" t="s">
        <v>29</v>
      </c>
      <c r="M251" s="5">
        <v>44878</v>
      </c>
      <c r="N251" s="4">
        <v>269.97000000000003</v>
      </c>
      <c r="O251" s="7">
        <f t="shared" ca="1" si="15"/>
        <v>46084.816637962962</v>
      </c>
      <c r="P251" s="8">
        <f t="shared" ca="1" si="16"/>
        <v>46084.816637962962</v>
      </c>
      <c r="Q251">
        <f t="shared" si="17"/>
        <v>269.97000000000003</v>
      </c>
      <c r="R251">
        <f t="shared" si="18"/>
        <v>3.5999999999999996</v>
      </c>
      <c r="S251">
        <f t="shared" si="19"/>
        <v>323.96399999999994</v>
      </c>
      <c r="T251" cm="1">
        <f t="array" ref="T251">SUMPRODUCT(H251:H499*1.2, I251:I499)</f>
        <v>323.96399999999994</v>
      </c>
      <c r="U251" cm="1">
        <f t="array" ref="U251">SUMPRODUCT(H251:H499, I251:I499*0.9)</f>
        <v>242.97300000000001</v>
      </c>
      <c r="V251" cm="1">
        <f t="array" ref="V251">SUMPRODUCT((H251:H499*1.15)*(I251:I499*0.95))</f>
        <v>294.94222499999995</v>
      </c>
      <c r="W251">
        <f>MONTH(Table1[[#This Row],[Date]])</f>
        <v>4</v>
      </c>
    </row>
    <row r="252" spans="1:23" ht="15.75" customHeight="1" x14ac:dyDescent="0.3"/>
    <row r="253" spans="1:23" ht="15.75" customHeight="1" x14ac:dyDescent="0.3"/>
    <row r="254" spans="1:23" ht="15.75" customHeight="1" x14ac:dyDescent="0.3"/>
    <row r="255" spans="1:23" ht="15.75" customHeight="1" x14ac:dyDescent="0.3"/>
    <row r="256" spans="1:23"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tableParts count="1">
    <tablePart r:id="rId1"/>
  </tableParts>
  <extLst>
    <ext xmlns:x14="http://schemas.microsoft.com/office/spreadsheetml/2009/9/main" uri="{78C0D931-6437-407d-A8EE-F0AAD7539E65}">
      <x14:conditionalFormattings>
        <x14:conditionalFormatting xmlns:xm="http://schemas.microsoft.com/office/excel/2006/main">
          <x14:cfRule type="iconSet" priority="4" id="{0DB1713A-EB6F-4442-ADE3-ED5D52B0F641}">
            <x14:iconSet iconSet="3Triangles">
              <x14:cfvo type="percent">
                <xm:f>0</xm:f>
              </x14:cfvo>
              <x14:cfvo type="percent">
                <xm:f>33</xm:f>
              </x14:cfvo>
              <x14:cfvo type="percent">
                <xm:f>67</xm:f>
              </x14:cfvo>
            </x14:iconSet>
          </x14:cfRule>
          <xm:sqref>N1:N1048576</xm:sqref>
        </x14:conditionalFormatting>
        <x14:conditionalFormatting xmlns:xm="http://schemas.microsoft.com/office/excel/2006/main">
          <x14:cfRule type="iconSet" priority="3" id="{C73886F9-45AE-4BD5-9F1D-F875B470762D}">
            <x14:iconSet iconSet="3Triangles">
              <x14:cfvo type="percent">
                <xm:f>0</xm:f>
              </x14:cfvo>
              <x14:cfvo type="percent">
                <xm:f>33</xm:f>
              </x14:cfvo>
              <x14:cfvo type="percent">
                <xm:f>67</xm:f>
              </x14:cfvo>
            </x14:iconSet>
          </x14:cfRule>
          <xm:sqref>T1:T1048576</xm:sqref>
        </x14:conditionalFormatting>
        <x14:conditionalFormatting xmlns:xm="http://schemas.microsoft.com/office/excel/2006/main">
          <x14:cfRule type="iconSet" priority="2" id="{681DF3BF-166A-4797-B782-72556413CB24}">
            <x14:iconSet iconSet="3Triangles">
              <x14:cfvo type="percent">
                <xm:f>0</xm:f>
              </x14:cfvo>
              <x14:cfvo type="percent">
                <xm:f>33</xm:f>
              </x14:cfvo>
              <x14:cfvo type="percent">
                <xm:f>67</xm:f>
              </x14:cfvo>
            </x14:iconSet>
          </x14:cfRule>
          <xm:sqref>U1:U1048576</xm:sqref>
        </x14:conditionalFormatting>
        <x14:conditionalFormatting xmlns:xm="http://schemas.microsoft.com/office/excel/2006/main">
          <x14:cfRule type="iconSet" priority="1" id="{A5314F68-96EC-4528-91BC-D99EDAEC1039}">
            <x14:iconSet iconSet="3Triangles">
              <x14:cfvo type="percent">
                <xm:f>0</xm:f>
              </x14:cfvo>
              <x14:cfvo type="percent">
                <xm:f>33</xm:f>
              </x14:cfvo>
              <x14:cfvo type="percent">
                <xm:f>67</xm:f>
              </x14:cfvo>
            </x14:iconSet>
          </x14:cfRule>
          <xm:sqref>V1:V1048576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9B73F-A7A0-4A0A-9081-1A77FBDA17DB}">
  <dimension ref="A3:B9"/>
  <sheetViews>
    <sheetView workbookViewId="0">
      <selection activeCell="N11" sqref="N11"/>
    </sheetView>
  </sheetViews>
  <sheetFormatPr defaultRowHeight="14.4" x14ac:dyDescent="0.3"/>
  <cols>
    <col min="1" max="1" width="12.5546875" bestFit="1" customWidth="1"/>
    <col min="2" max="2" width="16.21875" bestFit="1" customWidth="1"/>
  </cols>
  <sheetData>
    <row r="3" spans="1:2" x14ac:dyDescent="0.3">
      <c r="A3" s="9" t="s">
        <v>409</v>
      </c>
      <c r="B3" t="s">
        <v>410</v>
      </c>
    </row>
    <row r="4" spans="1:2" x14ac:dyDescent="0.3">
      <c r="A4" s="10" t="s">
        <v>23</v>
      </c>
      <c r="B4">
        <v>14219.459999999992</v>
      </c>
    </row>
    <row r="5" spans="1:2" x14ac:dyDescent="0.3">
      <c r="A5" s="10" t="s">
        <v>65</v>
      </c>
      <c r="B5">
        <v>16569.519999999997</v>
      </c>
    </row>
    <row r="6" spans="1:2" x14ac:dyDescent="0.3">
      <c r="A6" s="10" t="s">
        <v>42</v>
      </c>
      <c r="B6">
        <v>19749.41</v>
      </c>
    </row>
    <row r="7" spans="1:2" x14ac:dyDescent="0.3">
      <c r="A7" s="10" t="s">
        <v>37</v>
      </c>
      <c r="B7">
        <v>10189.579999999994</v>
      </c>
    </row>
    <row r="8" spans="1:2" x14ac:dyDescent="0.3">
      <c r="A8" s="10" t="s">
        <v>52</v>
      </c>
      <c r="B8">
        <v>13439.529999999992</v>
      </c>
    </row>
    <row r="9" spans="1:2" x14ac:dyDescent="0.3">
      <c r="A9" s="10" t="s">
        <v>411</v>
      </c>
      <c r="B9">
        <v>74167.499999999971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8080F-A8F4-47B3-9CB5-A00DA4F5C873}">
  <dimension ref="A3:D9"/>
  <sheetViews>
    <sheetView workbookViewId="0">
      <selection activeCell="A3" sqref="A3:D9"/>
    </sheetView>
  </sheetViews>
  <sheetFormatPr defaultRowHeight="14.4" x14ac:dyDescent="0.3"/>
  <cols>
    <col min="1" max="1" width="12.5546875" bestFit="1" customWidth="1"/>
    <col min="2" max="2" width="24.44140625" bestFit="1" customWidth="1"/>
    <col min="3" max="3" width="18.88671875" bestFit="1" customWidth="1"/>
    <col min="4" max="4" width="17.5546875" bestFit="1" customWidth="1"/>
  </cols>
  <sheetData>
    <row r="3" spans="1:4" x14ac:dyDescent="0.3">
      <c r="A3" s="9" t="s">
        <v>409</v>
      </c>
      <c r="B3" t="s">
        <v>416</v>
      </c>
      <c r="C3" t="s">
        <v>417</v>
      </c>
      <c r="D3" t="s">
        <v>418</v>
      </c>
    </row>
    <row r="4" spans="1:4" x14ac:dyDescent="0.3">
      <c r="A4" s="10" t="s">
        <v>23</v>
      </c>
      <c r="B4">
        <v>6840798.1560000032</v>
      </c>
      <c r="C4">
        <v>5130598.6170000015</v>
      </c>
      <c r="D4">
        <v>6227976.6545250025</v>
      </c>
    </row>
    <row r="5" spans="1:4" x14ac:dyDescent="0.3">
      <c r="A5" s="10" t="s">
        <v>65</v>
      </c>
      <c r="B5">
        <v>7019220.6120000007</v>
      </c>
      <c r="C5">
        <v>5264415.4589999998</v>
      </c>
      <c r="D5">
        <v>6390415.4321750039</v>
      </c>
    </row>
    <row r="6" spans="1:4" x14ac:dyDescent="0.3">
      <c r="A6" s="10" t="s">
        <v>42</v>
      </c>
      <c r="B6">
        <v>8791885.9800000004</v>
      </c>
      <c r="C6">
        <v>6593914.4850000031</v>
      </c>
      <c r="D6">
        <v>8004279.5276250057</v>
      </c>
    </row>
    <row r="7" spans="1:4" x14ac:dyDescent="0.3">
      <c r="A7" s="10" t="s">
        <v>37</v>
      </c>
      <c r="B7">
        <v>5758505.3879999984</v>
      </c>
      <c r="C7">
        <v>4318879.0410000011</v>
      </c>
      <c r="D7">
        <v>5242639.280325002</v>
      </c>
    </row>
    <row r="8" spans="1:4" x14ac:dyDescent="0.3">
      <c r="A8" s="10" t="s">
        <v>52</v>
      </c>
      <c r="B8">
        <v>6547071.1200000001</v>
      </c>
      <c r="C8">
        <v>4910303.3400000008</v>
      </c>
      <c r="D8">
        <v>5960562.6655000048</v>
      </c>
    </row>
    <row r="9" spans="1:4" x14ac:dyDescent="0.3">
      <c r="A9" s="10" t="s">
        <v>411</v>
      </c>
      <c r="B9">
        <v>34957481.255999997</v>
      </c>
      <c r="C9">
        <v>26218110.942000005</v>
      </c>
      <c r="D9">
        <v>31825873.56015002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5F97E-61BD-4806-8B08-ABA92CEE3A92}">
  <dimension ref="A3:D8"/>
  <sheetViews>
    <sheetView workbookViewId="0">
      <selection activeCell="A3" sqref="A3:D8"/>
    </sheetView>
  </sheetViews>
  <sheetFormatPr defaultRowHeight="14.4" x14ac:dyDescent="0.3"/>
  <cols>
    <col min="1" max="1" width="12.5546875" bestFit="1" customWidth="1"/>
    <col min="2" max="2" width="17.5546875" bestFit="1" customWidth="1"/>
    <col min="3" max="3" width="19.77734375" bestFit="1" customWidth="1"/>
    <col min="4" max="4" width="16.21875" bestFit="1" customWidth="1"/>
  </cols>
  <sheetData>
    <row r="3" spans="1:4" x14ac:dyDescent="0.3">
      <c r="A3" s="9" t="s">
        <v>409</v>
      </c>
      <c r="B3" t="s">
        <v>418</v>
      </c>
      <c r="C3" t="s">
        <v>412</v>
      </c>
      <c r="D3" t="s">
        <v>410</v>
      </c>
    </row>
    <row r="4" spans="1:4" x14ac:dyDescent="0.3">
      <c r="A4" s="10" t="s">
        <v>22</v>
      </c>
      <c r="B4">
        <v>10150798.673250007</v>
      </c>
      <c r="C4">
        <v>57427.790000000023</v>
      </c>
      <c r="D4">
        <v>19929.240000000009</v>
      </c>
    </row>
    <row r="5" spans="1:4" x14ac:dyDescent="0.3">
      <c r="A5" s="10" t="s">
        <v>28</v>
      </c>
      <c r="B5">
        <v>9653190.760875009</v>
      </c>
      <c r="C5">
        <v>61447.960000000014</v>
      </c>
      <c r="D5">
        <v>20029.320000000018</v>
      </c>
    </row>
    <row r="6" spans="1:4" x14ac:dyDescent="0.3">
      <c r="A6" s="10" t="s">
        <v>59</v>
      </c>
      <c r="B6">
        <v>6056820.2294250028</v>
      </c>
      <c r="C6">
        <v>52118.310000000005</v>
      </c>
      <c r="D6">
        <v>15349.459999999992</v>
      </c>
    </row>
    <row r="7" spans="1:4" x14ac:dyDescent="0.3">
      <c r="A7" s="10" t="s">
        <v>36</v>
      </c>
      <c r="B7">
        <v>5965063.8966000034</v>
      </c>
      <c r="C7">
        <v>58198.409999999996</v>
      </c>
      <c r="D7">
        <v>18859.48</v>
      </c>
    </row>
    <row r="8" spans="1:4" x14ac:dyDescent="0.3">
      <c r="A8" s="10" t="s">
        <v>411</v>
      </c>
      <c r="B8">
        <v>31825873.56015002</v>
      </c>
      <c r="C8">
        <v>229192.47000000003</v>
      </c>
      <c r="D8">
        <v>74167.500000000015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32D4B-9D75-44EB-B74C-CCCE5EF43425}">
  <dimension ref="A3:D7"/>
  <sheetViews>
    <sheetView topLeftCell="A10" workbookViewId="0">
      <selection activeCell="J20" sqref="J20"/>
    </sheetView>
  </sheetViews>
  <sheetFormatPr defaultRowHeight="14.4" x14ac:dyDescent="0.3"/>
  <cols>
    <col min="1" max="1" width="12.5546875" bestFit="1" customWidth="1"/>
    <col min="2" max="2" width="15.5546875" bestFit="1" customWidth="1"/>
    <col min="3" max="3" width="11.21875" bestFit="1" customWidth="1"/>
    <col min="4" max="4" width="15.6640625" bestFit="1" customWidth="1"/>
  </cols>
  <sheetData>
    <row r="3" spans="1:4" x14ac:dyDescent="0.3">
      <c r="A3" s="9" t="s">
        <v>409</v>
      </c>
      <c r="B3" t="s">
        <v>413</v>
      </c>
      <c r="C3" t="s">
        <v>414</v>
      </c>
      <c r="D3" t="s">
        <v>415</v>
      </c>
    </row>
    <row r="4" spans="1:4" x14ac:dyDescent="0.3">
      <c r="A4" s="10" t="s">
        <v>35</v>
      </c>
      <c r="B4">
        <v>5538169.9200000074</v>
      </c>
      <c r="C4">
        <v>151.20000000000002</v>
      </c>
      <c r="D4">
        <v>10006.487999999999</v>
      </c>
    </row>
    <row r="5" spans="1:4" x14ac:dyDescent="0.3">
      <c r="A5" s="10" t="s">
        <v>21</v>
      </c>
      <c r="B5">
        <v>15281364.260000005</v>
      </c>
      <c r="C5">
        <v>473.99999999999994</v>
      </c>
      <c r="D5">
        <v>206107.26000000004</v>
      </c>
    </row>
    <row r="6" spans="1:4" x14ac:dyDescent="0.3">
      <c r="A6" s="10" t="s">
        <v>48</v>
      </c>
      <c r="B6">
        <v>8311700.2000000067</v>
      </c>
      <c r="C6">
        <v>278.40000000000003</v>
      </c>
      <c r="D6">
        <v>58917.216000000015</v>
      </c>
    </row>
    <row r="7" spans="1:4" x14ac:dyDescent="0.3">
      <c r="A7" s="10" t="s">
        <v>411</v>
      </c>
      <c r="B7">
        <v>29131234.380000021</v>
      </c>
      <c r="C7">
        <v>903.59999999999991</v>
      </c>
      <c r="D7">
        <v>275030.96400000004</v>
      </c>
    </row>
  </sheetData>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iconSet" priority="2" id="{5B9FFF61-FB8E-4584-BA49-AC1C81C2518E}">
            <x14:iconSet iconSet="3Triangles">
              <x14:cfvo type="percent">
                <xm:f>0</xm:f>
              </x14:cfvo>
              <x14:cfvo type="percent">
                <xm:f>33</xm:f>
              </x14:cfvo>
              <x14:cfvo type="percent">
                <xm:f>67</xm:f>
              </x14:cfvo>
            </x14:iconSet>
          </x14:cfRule>
          <xm:sqref>B7</xm:sqref>
        </x14:conditionalFormatting>
        <x14:conditionalFormatting xmlns:xm="http://schemas.microsoft.com/office/excel/2006/main" pivot="1">
          <x14:cfRule type="iconSet" priority="1" id="{4621B953-F1EB-4795-9C99-C18F9D770D82}">
            <x14:iconSet iconSet="3Triangles">
              <x14:cfvo type="percent">
                <xm:f>0</xm:f>
              </x14:cfvo>
              <x14:cfvo type="percent">
                <xm:f>33</xm:f>
              </x14:cfvo>
              <x14:cfvo type="percent">
                <xm:f>67</xm:f>
              </x14:cfvo>
            </x14:iconSet>
          </x14:cfRule>
          <xm:sqref>B4:B7</xm:sqref>
        </x14:conditionalFormatting>
      </x14:conditionalFormattings>
    </ex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Project Instructions</vt:lpstr>
      <vt:lpstr>Final Project Dataset</vt:lpstr>
      <vt:lpstr>Sheet1</vt:lpstr>
      <vt:lpstr>Sheet3</vt:lpstr>
      <vt:lpstr>Sheet4</vt:lpstr>
      <vt:lpstr>Sheet5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Kushal Soni</dc:creator>
  <cp:lastModifiedBy>Kushal Soni</cp:lastModifiedBy>
  <dcterms:created xsi:type="dcterms:W3CDTF">2026-03-03T14:05:57Z</dcterms:created>
  <dcterms:modified xsi:type="dcterms:W3CDTF">2026-03-03T14:06:00Z</dcterms:modified>
</cp:coreProperties>
</file>