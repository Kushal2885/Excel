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Excel\"/>
    </mc:Choice>
  </mc:AlternateContent>
  <xr:revisionPtr revIDLastSave="0" documentId="13_ncr:1_{235FC685-2DE4-4A1B-A22C-6C7B026DD73A}" xr6:coauthVersionLast="47" xr6:coauthVersionMax="47" xr10:uidLastSave="{00000000-0000-0000-0000-000000000000}"/>
  <bookViews>
    <workbookView xWindow="-108" yWindow="-108" windowWidth="23256" windowHeight="13176" xr2:uid="{A5821B9F-4183-4B1B-BA3B-3764E2EE80C0}"/>
  </bookViews>
  <sheets>
    <sheet name="Dashboard" sheetId="11" r:id="rId1"/>
    <sheet name="Sheet1" sheetId="1" r:id="rId2"/>
    <sheet name="Sheet2" sheetId="2" r:id="rId3"/>
    <sheet name="cust-id vs quantity" sheetId="3" r:id="rId4"/>
    <sheet name="month vs sales" sheetId="4" r:id="rId5"/>
    <sheet name="producr vs sales" sheetId="6" r:id="rId6"/>
    <sheet name="month vs profit" sheetId="7" r:id="rId7"/>
    <sheet name="region vs sales" sheetId="8" r:id="rId8"/>
    <sheet name="product vs discount" sheetId="9" r:id="rId9"/>
    <sheet name="date vs sales" sheetId="10" r:id="rId10"/>
  </sheet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alcChain>
</file>

<file path=xl/sharedStrings.xml><?xml version="1.0" encoding="utf-8"?>
<sst xmlns="http://schemas.openxmlformats.org/spreadsheetml/2006/main" count="906" uniqueCount="101">
  <si>
    <t>PR. 2 Analyzer</t>
  </si>
  <si>
    <r>
      <t xml:space="preserve">Topics:
</t>
    </r>
    <r>
      <rPr>
        <sz val="11"/>
        <color theme="1"/>
        <rFont val="Calibri"/>
        <family val="2"/>
        <scheme val="minor"/>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family val="2"/>
        <scheme val="minor"/>
      </rPr>
      <t>Main Tasks:</t>
    </r>
    <r>
      <rPr>
        <sz val="11"/>
        <color rgb="FF38761D"/>
        <rFont val="Calibri"/>
        <family val="2"/>
        <scheme val="minor"/>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family val="2"/>
        <scheme val="minor"/>
      </rPr>
      <t xml:space="preserve">
</t>
    </r>
    <r>
      <rPr>
        <b/>
        <sz val="11"/>
        <color theme="1"/>
        <rFont val="Calibri"/>
        <family val="2"/>
        <scheme val="minor"/>
      </rPr>
      <t xml:space="preserve">Deliverable:
</t>
    </r>
    <r>
      <rPr>
        <sz val="11"/>
        <color theme="1"/>
        <rFont val="Calibri"/>
        <family val="2"/>
        <scheme val="minor"/>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</si>
  <si>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</si>
  <si>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</si>
  <si>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</si>
  <si>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</si>
  <si>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</si>
  <si>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</si>
  <si>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</si>
  <si>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</si>
  <si>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</si>
  <si>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</si>
  <si>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</si>
  <si>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</si>
  <si>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</si>
  <si>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</si>
  <si>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</si>
  <si>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</si>
  <si>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</si>
  <si>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</si>
  <si>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</si>
  <si>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</si>
  <si>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</si>
  <si>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</si>
  <si>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</si>
  <si>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</si>
  <si>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</si>
  <si>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</si>
  <si>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</si>
  <si>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</si>
  <si>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</si>
  <si>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</si>
  <si>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</si>
  <si>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</si>
  <si>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</si>
  <si>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</si>
  <si>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</si>
  <si>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</si>
  <si>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</si>
  <si>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</si>
  <si>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</si>
  <si>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</si>
  <si>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</si>
  <si>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</si>
  <si>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</si>
  <si>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</si>
  <si>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</si>
  <si>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</si>
  <si>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</si>
  <si>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</si>
  <si>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</si>
  <si>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</si>
  <si>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</si>
  <si>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</si>
  <si>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</si>
  <si>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</si>
  <si>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</si>
  <si>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</si>
  <si>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</si>
  <si>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</si>
  <si>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</si>
  <si>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</si>
  <si>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</si>
  <si>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</si>
  <si>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</si>
  <si>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</si>
  <si>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</si>
  <si>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</si>
  <si>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</si>
  <si>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</si>
  <si>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</si>
  <si>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</si>
  <si>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</si>
  <si>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</si>
  <si>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</si>
  <si>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</si>
  <si>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</si>
  <si>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</si>
  <si>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Month</t>
  </si>
  <si>
    <t>Row Labels</t>
  </si>
  <si>
    <t>Grand Total</t>
  </si>
  <si>
    <t>Sum of Quantity</t>
  </si>
  <si>
    <t>Sum of Discount</t>
  </si>
  <si>
    <t>Sum of Sales</t>
  </si>
  <si>
    <t>Mar</t>
  </si>
  <si>
    <t>Jan</t>
  </si>
  <si>
    <t>Feb</t>
  </si>
  <si>
    <t>Apr</t>
  </si>
  <si>
    <t>May</t>
  </si>
  <si>
    <t>Jun</t>
  </si>
  <si>
    <t>Jul</t>
  </si>
  <si>
    <t>Aug</t>
  </si>
  <si>
    <t>Sep</t>
  </si>
  <si>
    <t>Oct</t>
  </si>
  <si>
    <t>Nov</t>
  </si>
  <si>
    <t>Dec</t>
  </si>
  <si>
    <t>Sum of Profit</t>
  </si>
  <si>
    <t>2024</t>
  </si>
  <si>
    <t>2025</t>
  </si>
  <si>
    <t>Timestamp</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</si>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</sst>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38761D"/>
      <name val="Calibri"/>
      <family val="2"/>
      <scheme val="minor"/>
    </font>
    <font>
      <sz val="11"/>
      <color rgb="FF38761D"/>
      <name val="Calibri"/>
      <family val="2"/>
      <scheme val="minor"/>
    </font>
    <font>
      <b/>
      <sz val="36"/>
      <color theme="0"/>
      <name val="Lucida Bright"/>
      <family val="1"/>
    </font>
    <font>
      <b/>
      <sz val="36"/>
      <color theme="1"/>
      <name val="Lucida Bright"/>
      <family val="1"/>
    </font>
  </fonts>
  <fills count="4">
    <fill>
      <patternFill patternType="none"/>
    </fill>
    <fill>
      <patternFill patternType="gray125"/>
    </fill>
    <fill>
      <patternFill patternType="solid">
        <fgColor rgb="FFFFF2CC"/>
        <bgColor indexed="64"/>
      </patternFill>
    </fill>
    <fill>
      <patternFill patternType="solid">
        <fgColor theme="4" tint="-0.499984740745262"/>
        <bgColor indexed="64"/>
      </patternFill>
    </fill>
  </fills>
  <borders count="12">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wrapText="1"/>
    </xf>
    <xf numFmtId="0" fontId="1" fillId="0" borderId="2" xfId="0" applyFont="1" applyBorder="1" applyAlignment="1">
      <alignment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14" fontId="0" fillId="0" borderId="3" xfId="0" applyNumberForma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14" fontId="0" fillId="0" borderId="10" xfId="0" applyNumberFormat="1"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0" fillId="3" borderId="0" xfId="0" applyFill="1"/>
    <xf numFmtId="0" fontId="4"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16">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center"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[analyzer-2.xlsx]date vs sales!PivotTable5</c:name>
    <c:fmtId val="9"/>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lt1"/>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'date vs sales'!$B$3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'date vs sales'!$A$4:$A$6</c:f>
              <c:strCache>
                <c:ptCount val="2"/>
                <c:pt idx="0">
                  <c:v>2024</c:v>
                </c:pt>
                <c:pt idx="1">
                  <c:v>2025</c:v>
                </c:pt>
              </c:strCache>
            </c:strRef>
          </c:cat>
          <c:val>
            <c:numRef>
              <c:f>'date vs sales'!$B$4:$B$6</c:f>
              <c:numCache>
                <c:formatCode>General</c:formatCode>
                <c:ptCount val="2"/>
                <c:pt idx="0">
                  <c:v>145429.35999999999</c:v>
                </c:pt>
                <c:pt idx="1">
                  <c:v>49788.4</c:v>
                </c:pt>
              </c:numCache>
            </c:numRef>
          </c:val>
          <c:extLst>
            <c:ext xmlns:c16="http://schemas.microsoft.com/office/drawing/2014/chart" uri="{C3380CC4-5D6E-409C-BE32-E72D297353CC}">
              <c16:uniqueId val="{00000000-CDD1-4585-8613-2A9D0C228B20}"/>
            </c:ext>
          </c:extLst>
        </c:ser>
        <c:dLbls>
          <c:dLblPos val="inEnd"/>
          <c:showLegendKey val="0"/>
          <c:showVal val="1"/>
          <c:showCatName val="0"/>
          <c:showSerName val="0"/>
          <c:showPercent val="0"/>
          <c:showBubbleSize val="0"/>
        </c:dLbls>
        <c:gapWidth val="326"/>
        <c:overlap val="-58"/>
        <c:axId val="1872008319"/>
        <c:axId val="1980546863"/>
      </c:barChart>
      <c:catAx>
        <c:axId val="18720083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0546863"/>
        <c:crosses val="autoZero"/>
        <c:auto val="1"/>
        <c:lblAlgn val="ctr"/>
        <c:lblOffset val="100"/>
        <c:noMultiLvlLbl val="0"/>
      </c:catAx>
      <c:valAx>
        <c:axId val="198054686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7200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[analyzer-2.xlsx]month vs profit!PivotTable2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profit'!$B$3</c:f>
              <c:strCache>
                <c:ptCount val="1"/>
                <c:pt idx="0">
                  <c:v>Total</c:v>
                </c:pt>
              </c:strCache>
            </c:strRef>
          </c:tx>
          <c:spPr>
            <a:solidFill>
              <a:schemeClr val="accent1"/>
            </a:solidFill>
            <a:ln>
              <a:noFill/>
            </a:ln>
            <a:effectLst/>
          </c:spPr>
          <c:invertIfNegative val="0"/>
          <c:cat>
            <c:strRef>
              <c:f>'month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profit'!$B$4:$B$16</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extLst>
            <c:ext xmlns:c16="http://schemas.microsoft.com/office/drawing/2014/chart" uri="{C3380CC4-5D6E-409C-BE32-E72D297353CC}">
              <c16:uniqueId val="{00000000-097C-4F28-853E-421D6D149E93}"/>
            </c:ext>
          </c:extLst>
        </c:ser>
        <c:dLbls>
          <c:showLegendKey val="0"/>
          <c:showVal val="0"/>
          <c:showCatName val="0"/>
          <c:showSerName val="0"/>
          <c:showPercent val="0"/>
          <c:showBubbleSize val="0"/>
        </c:dLbls>
        <c:gapWidth val="182"/>
        <c:axId val="1973715775"/>
        <c:axId val="1973716735"/>
      </c:barChart>
      <c:catAx>
        <c:axId val="197371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3716735"/>
        <c:crosses val="autoZero"/>
        <c:auto val="1"/>
        <c:lblAlgn val="ctr"/>
        <c:lblOffset val="100"/>
        <c:noMultiLvlLbl val="0"/>
      </c:catAx>
      <c:valAx>
        <c:axId val="197371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37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[analyzer-2.xlsx]region vs sales!PivotTable3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 vs sales'!$B$3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316-49E1-9C8A-1025E46666C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316-49E1-9C8A-1025E46666C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316-49E1-9C8A-1025E46666C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316-49E1-9C8A-1025E46666C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316-49E1-9C8A-1025E46666C6}"/>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316-49E1-9C8A-1025E46666C6}"/>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316-49E1-9C8A-1025E46666C6}"/>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6316-49E1-9C8A-1025E46666C6}"/>
                </c:ext>
              </c:extLst>
            </c:dLbl>
            <c:dLbl>
              <c:idx val="3"/>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6316-49E1-9C8A-1025E46666C6}"/>
                </c:ext>
              </c:extLst>
            </c:dLbl>
            <c:dLbl>
              <c:idx val="4"/>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6316-49E1-9C8A-1025E46666C6}"/>
                </c:ext>
              </c:extLst>
            </c:dLbl>
            <c:spPr>
              <a:noFill/>
              <a:ln>
                <a:noFill/>
              </a:ln>
              <a:effectLst/>
            </c:spPr>
            <c:txPr>
              <a:bodyPr rot="0" spcFirstLastPara="1" vertOverflow="ellipsis" vert="horz" wrap="square" anchor="ctr" anchorCtr="1"/>
              <a:lstStyle/>
              <a:p>
                <a:pPr>
                  <a:defRPr sz="1000" b="1" i="0" u="none" strike="noStrike" kern="1200" spc="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sales'!$A$4:$A$9</c:f>
              <c:strCache>
                <c:ptCount val="5"/>
                <c:pt idx="0">
                  <c:v>Central</c:v>
                </c:pt>
                <c:pt idx="1">
                  <c:v>East</c:v>
                </c:pt>
                <c:pt idx="2">
                  <c:v>North</c:v>
                </c:pt>
                <c:pt idx="3">
                  <c:v>South</c:v>
                </c:pt>
                <c:pt idx="4">
                  <c:v>West</c:v>
                </c:pt>
              </c:strCache>
            </c:strRef>
          </c:cat>
          <c:val>
            <c:numRef>
              <c:f>'region vs sales'!$B$4:$B$9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A-6316-49E1-9C8A-1025E46666C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[analyzer-2.xlsx]month vs sales!PivotTable2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 vs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A33D-4584-B0F0-F64237D6716D}"/>
            </c:ext>
          </c:extLst>
        </c:ser>
        <c:dLbls>
          <c:showLegendKey val="0"/>
          <c:showVal val="0"/>
          <c:showCatName val="0"/>
          <c:showSerName val="0"/>
          <c:showPercent val="0"/>
          <c:showBubbleSize val="0"/>
        </c:dLbls>
        <c:marker val="1"/>
        <c:smooth val="0"/>
        <c:axId val="713088703"/>
        <c:axId val="713089663"/>
      </c:lineChart>
      <c:catAx>
        <c:axId val="7130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3089663"/>
        <c:crosses val="autoZero"/>
        <c:auto val="1"/>
        <c:lblAlgn val="ctr"/>
        <c:lblOffset val="100"/>
        <c:noMultiLvlLbl val="0"/>
      </c:catAx>
      <c:valAx>
        <c:axId val="7130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30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6350" cap="flat" cmpd="sng" algn="ctr">
      <a:solidFill>
        <a:schemeClr val="dk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[analyzer-2.xlsx]producr vs sales!PivotTable1</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'producr vs sales'!$B$3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79-4AAB-9350-2638307D361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79-4AAB-9350-2638307D361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79-4AAB-9350-2638307D361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C79-4AAB-9350-2638307D361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C79-4AAB-9350-2638307D3613}"/>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'producr vs sales'!$A$4:$A$9</c:f>
              <c:strCache>
                <c:ptCount val="5"/>
                <c:pt idx="0">
                  <c:v>Books</c:v>
                </c:pt>
                <c:pt idx="1">
                  <c:v>Clothing</c:v>
                </c:pt>
                <c:pt idx="2">
                  <c:v>Electronics</c:v>
                </c:pt>
                <c:pt idx="3">
                  <c:v>Furniture</c:v>
                </c:pt>
                <c:pt idx="4">
                  <c:v>Office Supplies</c:v>
                </c:pt>
              </c:strCache>
            </c:strRef>
          </c:cat>
          <c:val>
            <c:numRef>
              <c:f>'producr vs sales'!$B$4:$B$9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5C79-4AAB-9350-2638307D36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[analyzer-2.xlsx]cust-id vs quantity!PivotTable1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'cust-id vs quantity'!$B$3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'cust-id vs quantity'!$A$4:$A$34</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'cust-id vs quantity'!$B$4:$B$34</c:f>
              <c:numCache>
                <c:formatCode>General</c:formatCode>
                <c:ptCount val="30"/>
                <c:pt idx="0">
                  <c:v>72</c:v>
                </c:pt>
                <c:pt idx="1">
                  <c:v>83</c:v>
                </c:pt>
                <c:pt idx="2">
                  <c:v>116</c:v>
                </c:pt>
                <c:pt idx="3">
                  <c:v>81</c:v>
                </c:pt>
                <c:pt idx="4">
                  <c:v>53</c:v>
                </c:pt>
                <c:pt idx="5">
                  <c:v>14</c:v>
                </c:pt>
                <c:pt idx="6">
                  <c:v>94</c:v>
                </c:pt>
                <c:pt idx="7">
                  <c:v>102</c:v>
                </c:pt>
                <c:pt idx="8">
                  <c:v>59</c:v>
                </c:pt>
                <c:pt idx="9">
                  <c:v>55</c:v>
                </c:pt>
                <c:pt idx="10">
                  <c:v>46</c:v>
                </c:pt>
                <c:pt idx="11">
                  <c:v>86</c:v>
                </c:pt>
                <c:pt idx="12">
                  <c:v>26</c:v>
                </c:pt>
                <c:pt idx="13">
                  <c:v>62</c:v>
                </c:pt>
                <c:pt idx="14">
                  <c:v>97</c:v>
                </c:pt>
                <c:pt idx="15">
                  <c:v>34</c:v>
                </c:pt>
                <c:pt idx="16">
                  <c:v>37</c:v>
                </c:pt>
                <c:pt idx="17">
                  <c:v>46</c:v>
                </c:pt>
                <c:pt idx="18">
                  <c:v>43</c:v>
                </c:pt>
                <c:pt idx="19">
                  <c:v>47</c:v>
                </c:pt>
                <c:pt idx="20">
                  <c:v>100</c:v>
                </c:pt>
                <c:pt idx="21">
                  <c:v>78</c:v>
                </c:pt>
                <c:pt idx="22">
                  <c:v>51</c:v>
                </c:pt>
                <c:pt idx="23">
                  <c:v>76</c:v>
                </c:pt>
                <c:pt idx="24">
                  <c:v>47</c:v>
                </c:pt>
                <c:pt idx="25">
                  <c:v>75</c:v>
                </c:pt>
                <c:pt idx="26">
                  <c:v>76</c:v>
                </c:pt>
                <c:pt idx="27">
                  <c:v>101</c:v>
                </c:pt>
                <c:pt idx="28">
                  <c:v>49</c:v>
                </c:pt>
                <c:pt idx="29">
                  <c:v>93</c:v>
                </c:pt>
              </c:numCache>
            </c:numRef>
          </c:val>
          <c:smooth val="0"/>
          <c:extLst>
            <c:ext xmlns:c16="http://schemas.microsoft.com/office/drawing/2014/chart" uri="{C3380CC4-5D6E-409C-BE32-E72D297353CC}">
              <c16:uniqueId val="{00000000-0D2A-45DB-A960-18BC5181A493}"/>
            </c:ext>
          </c:extLst>
        </c:ser>
        <c:dLbls>
          <c:showLegendKey val="0"/>
          <c:showVal val="0"/>
          <c:showCatName val="0"/>
          <c:showSerName val="0"/>
          <c:showPercent val="0"/>
          <c:showBubbleSize val="0"/>
        </c:dLbls>
        <c:marker val="1"/>
        <c:smooth val="0"/>
        <c:axId val="1673185999"/>
        <c:axId val="1673183327"/>
      </c:lineChart>
      <c:catAx>
        <c:axId val="16731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183327"/>
        <c:crosses val="autoZero"/>
        <c:auto val="1"/>
        <c:lblAlgn val="ctr"/>
        <c:lblOffset val="100"/>
        <c:noMultiLvlLbl val="0"/>
      </c:catAx>
      <c:valAx>
        <c:axId val="16731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18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[analyzer-2.xlsx]month vs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 vs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vs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sales'!$B$4:$B$16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CCEE-44FE-85BE-4E8551FB5E8F}"/>
            </c:ext>
          </c:extLst>
        </c:ser>
        <c:dLbls>
          <c:showLegendKey val="0"/>
          <c:showVal val="0"/>
          <c:showCatName val="0"/>
          <c:showSerName val="0"/>
          <c:showPercent val="0"/>
          <c:showBubbleSize val="0"/>
        </c:dLbls>
        <c:marker val="1"/>
        <c:smooth val="0"/>
        <c:axId val="713088703"/>
        <c:axId val="713089663"/>
      </c:lineChart>
      <c:catAx>
        <c:axId val="7130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89663"/>
        <c:crosses val="autoZero"/>
        <c:auto val="1"/>
        <c:lblAlgn val="ctr"/>
        <c:lblOffset val="100"/>
        <c:noMultiLvlLbl val="0"/>
      </c:catAx>
      <c:valAx>
        <c:axId val="71308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[analyzer-2.xlsx]producr vs sales!PivotTable1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'producr vs sales'!$B$3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73B-44B5-A30A-E9118DE4B05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73B-44B5-A30A-E9118DE4B05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73B-44B5-A30A-E9118DE4B05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73B-44B5-A30A-E9118DE4B05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73B-44B5-A30A-E9118DE4B0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'producr vs sales'!$A$4:$A$9</c:f>
              <c:strCache>
                <c:ptCount val="5"/>
                <c:pt idx="0">
                  <c:v>Books</c:v>
                </c:pt>
                <c:pt idx="1">
                  <c:v>Clothing</c:v>
                </c:pt>
                <c:pt idx="2">
                  <c:v>Electronics</c:v>
                </c:pt>
                <c:pt idx="3">
                  <c:v>Furniture</c:v>
                </c:pt>
                <c:pt idx="4">
                  <c:v>Office Supplies</c:v>
                </c:pt>
              </c:strCache>
            </c:strRef>
          </c:cat>
          <c:val>
            <c:numRef>
              <c:f>'producr vs sales'!$B$4:$B$9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60A3-4972-B4C0-1CDA77EF6E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[analyzer-2.xlsx]month vs profit!PivotTable2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 vs profit'!$B$3</c:f>
              <c:strCache>
                <c:ptCount val="1"/>
                <c:pt idx="0">
                  <c:v>Total</c:v>
                </c:pt>
              </c:strCache>
            </c:strRef>
          </c:tx>
          <c:spPr>
            <a:solidFill>
              <a:schemeClr val="accent1"/>
            </a:solidFill>
            <a:ln>
              <a:noFill/>
            </a:ln>
            <a:effectLst/>
          </c:spPr>
          <c:invertIfNegative val="0"/>
          <c:cat>
            <c:strRef>
              <c:f>'month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vs profit'!$B$4:$B$16</c:f>
              <c:numCache>
                <c:formatCode>General</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extLst>
            <c:ext xmlns:c16="http://schemas.microsoft.com/office/drawing/2014/chart" uri="{C3380CC4-5D6E-409C-BE32-E72D297353CC}">
              <c16:uniqueId val="{00000000-E404-4824-8C04-5AFAF1393B16}"/>
            </c:ext>
          </c:extLst>
        </c:ser>
        <c:dLbls>
          <c:showLegendKey val="0"/>
          <c:showVal val="0"/>
          <c:showCatName val="0"/>
          <c:showSerName val="0"/>
          <c:showPercent val="0"/>
          <c:showBubbleSize val="0"/>
        </c:dLbls>
        <c:gapWidth val="182"/>
        <c:axId val="1973715775"/>
        <c:axId val="1973716735"/>
      </c:barChart>
      <c:catAx>
        <c:axId val="197371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16735"/>
        <c:crosses val="autoZero"/>
        <c:auto val="1"/>
        <c:lblAlgn val="ctr"/>
        <c:lblOffset val="100"/>
        <c:noMultiLvlLbl val="0"/>
      </c:catAx>
      <c:valAx>
        <c:axId val="1973716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7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[analyzer-2.xlsx]region vs sales!PivotTable3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'region vs sales'!$B$3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72B-4CB5-9E64-23B4E773D5E9}"/>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E72B-4CB5-9E64-23B4E773D5E9}"/>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E72B-4CB5-9E64-23B4E773D5E9}"/>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E72B-4CB5-9E64-23B4E773D5E9}"/>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E72B-4CB5-9E64-23B4E773D5E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E72B-4CB5-9E64-23B4E773D5E9}"/>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E72B-4CB5-9E64-23B4E773D5E9}"/>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E72B-4CB5-9E64-23B4E773D5E9}"/>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E72B-4CB5-9E64-23B4E773D5E9}"/>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E72B-4CB5-9E64-23B4E773D5E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vs sales'!$A$4:$A$9</c:f>
              <c:strCache>
                <c:ptCount val="5"/>
                <c:pt idx="0">
                  <c:v>Central</c:v>
                </c:pt>
                <c:pt idx="1">
                  <c:v>East</c:v>
                </c:pt>
                <c:pt idx="2">
                  <c:v>North</c:v>
                </c:pt>
                <c:pt idx="3">
                  <c:v>South</c:v>
                </c:pt>
                <c:pt idx="4">
                  <c:v>West</c:v>
                </c:pt>
              </c:strCache>
            </c:strRef>
          </c:cat>
          <c:val>
            <c:numRef>
              <c:f>'region vs sales'!$B$4:$B$9</c:f>
              <c:numCache>
                <c:formatCode>General</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0-E72B-4CB5-9E64-23B4E773D5E9}"/>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[analyzer-2.xlsx]product vs discount!PivotTable4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vs discount'!$B$3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'product vs discount'!$A$4:$A$9</c:f>
              <c:strCache>
                <c:ptCount val="5"/>
                <c:pt idx="0">
                  <c:v>Books</c:v>
                </c:pt>
                <c:pt idx="1">
                  <c:v>Clothing</c:v>
                </c:pt>
                <c:pt idx="2">
                  <c:v>Electronics</c:v>
                </c:pt>
                <c:pt idx="3">
                  <c:v>Furniture</c:v>
                </c:pt>
                <c:pt idx="4">
                  <c:v>Office Supplies</c:v>
                </c:pt>
              </c:strCache>
            </c:strRef>
          </c:cat>
          <c:val>
            <c:numRef>
              <c:f>'product vs discount'!$B$4:$B$9</c:f>
              <c:numCache>
                <c:formatCode>General</c:formatCode>
                <c:ptCount val="5"/>
                <c:pt idx="0">
                  <c:v>5.1000000000000005</c:v>
                </c:pt>
                <c:pt idx="1">
                  <c:v>4.05</c:v>
                </c:pt>
                <c:pt idx="2">
                  <c:v>4.3000000000000007</c:v>
                </c:pt>
                <c:pt idx="3">
                  <c:v>3.5</c:v>
                </c:pt>
                <c:pt idx="4">
                  <c:v>2.5000000000000004</c:v>
                </c:pt>
              </c:numCache>
            </c:numRef>
          </c:val>
          <c:smooth val="0"/>
          <c:extLst>
            <c:ext xmlns:c16="http://schemas.microsoft.com/office/drawing/2014/chart" uri="{C3380CC4-5D6E-409C-BE32-E72D297353CC}">
              <c16:uniqueId val="{00000000-92AB-49A5-A53F-EFBFB629B52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72033407"/>
        <c:axId val="1872033887"/>
      </c:lineChart>
      <c:catAx>
        <c:axId val="1872033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872033887"/>
        <c:crosses val="autoZero"/>
        <c:auto val="1"/>
        <c:lblAlgn val="ctr"/>
        <c:lblOffset val="100"/>
        <c:noMultiLvlLbl val="0"/>
      </c:catAx>
      <c:valAx>
        <c:axId val="1872033887"/>
        <c:scaling>
          <c:orientation val="minMax"/>
        </c:scaling>
        <c:delete val="1"/>
        <c:axPos val="l"/>
        <c:numFmt formatCode="General" sourceLinked="1"/>
        <c:majorTickMark val="none"/>
        <c:minorTickMark val="none"/>
        <c:tickLblPos val="nextTo"/>
        <c:crossAx val="187203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[analyzer-2.xlsx]date vs sales!PivotTable5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'date vs sales'!$B$3</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'date vs sales'!$A$4:$A$6</c:f>
              <c:strCache>
                <c:ptCount val="2"/>
                <c:pt idx="0">
                  <c:v>2024</c:v>
                </c:pt>
                <c:pt idx="1">
                  <c:v>2025</c:v>
                </c:pt>
              </c:strCache>
            </c:strRef>
          </c:cat>
          <c:val>
            <c:numRef>
              <c:f>'date vs sales'!$B$4:$B$6</c:f>
              <c:numCache>
                <c:formatCode>General</c:formatCode>
                <c:ptCount val="2"/>
                <c:pt idx="0">
                  <c:v>145429.35999999999</c:v>
                </c:pt>
                <c:pt idx="1">
                  <c:v>49788.4</c:v>
                </c:pt>
              </c:numCache>
            </c:numRef>
          </c:val>
          <c:extLst>
            <c:ext xmlns:c16="http://schemas.microsoft.com/office/drawing/2014/chart" uri="{C3380CC4-5D6E-409C-BE32-E72D297353CC}">
              <c16:uniqueId val="{00000000-AEE9-4682-9161-00242123AF29}"/>
            </c:ext>
          </c:extLst>
        </c:ser>
        <c:dLbls>
          <c:dLblPos val="inEnd"/>
          <c:showLegendKey val="0"/>
          <c:showVal val="1"/>
          <c:showCatName val="0"/>
          <c:showSerName val="0"/>
          <c:showPercent val="0"/>
          <c:showBubbleSize val="0"/>
        </c:dLbls>
        <c:gapWidth val="326"/>
        <c:overlap val="-58"/>
        <c:axId val="1872008319"/>
        <c:axId val="1980546863"/>
      </c:barChart>
      <c:catAx>
        <c:axId val="18720083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546863"/>
        <c:crosses val="autoZero"/>
        <c:auto val="1"/>
        <c:lblAlgn val="ctr"/>
        <c:lblOffset val="100"/>
        <c:noMultiLvlLbl val="0"/>
      </c:catAx>
      <c:valAx>
        <c:axId val="1980546863"/>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00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image" Target="../media/image5.emf"/><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14</xdr:col>
      <xdr:colOff>7620</xdr:colOff>
      <xdr:row>5</xdr:row>
      <xdr:rowOff>15240</xdr:rowOff>
    </xdr:from>
    <xdr:to>
      <xdr:col>21</xdr:col>
      <xdr:colOff>213360</xdr:colOff>
      <xdr:row>20</xdr:row>
      <xdr:rowOff>53340</xdr:rowOff>
    </xdr:to>
    <xdr:graphicFrame macro="">
      <xdr:nvGraphicFramePr>
        <xdr:cNvPr id="2" name="Chart 1">
          <a:extLst>
            <a:ext uri="{FF2B5EF4-FFF2-40B4-BE49-F238E27FC236}">
              <a16:creationId xmlns:a16="http://schemas.microsoft.com/office/drawing/2014/main" id="{EF9984BE-1ACE-4869-9AF4-DD64CAA6E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144780</xdr:colOff>
      <xdr:row>5</xdr:row>
      <xdr:rowOff>60960</xdr:rowOff>
    </xdr:from>
    <xdr:to>
      <xdr:col>8</xdr:col>
      <xdr:colOff>449580</xdr:colOff>
      <xdr:row>20</xdr:row>
      <xdr:rowOff>60960</xdr:rowOff>
    </xdr:to>
    <xdr:graphicFrame macro="">
      <xdr:nvGraphicFramePr>
        <xdr:cNvPr id="3" name="Chart 2">
          <a:extLst>
            <a:ext uri="{FF2B5EF4-FFF2-40B4-BE49-F238E27FC236}">
              <a16:creationId xmlns:a16="http://schemas.microsoft.com/office/drawing/2014/main" id="{B961E918-3C1C-42B8-BD34-86CB086D7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594360</xdr:colOff>
      <xdr:row>5</xdr:row>
      <xdr:rowOff>91440</xdr:rowOff>
    </xdr:from>
    <xdr:to>
      <xdr:col>13</xdr:col>
      <xdr:colOff>495300</xdr:colOff>
      <xdr:row>20</xdr:row>
      <xdr:rowOff>91440</xdr:rowOff>
    </xdr:to>
    <xdr:graphicFrame macro="">
      <xdr:nvGraphicFramePr>
        <xdr:cNvPr id="4" name="Chart 3">
          <a:extLst>
            <a:ext uri="{FF2B5EF4-FFF2-40B4-BE49-F238E27FC236}">
              <a16:creationId xmlns:a16="http://schemas.microsoft.com/office/drawing/2014/main" id="{0D980C4A-B8A2-47A3-96A8-09143B36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160020</xdr:colOff>
      <xdr:row>21</xdr:row>
      <xdr:rowOff>7620</xdr:rowOff>
    </xdr:from>
    <xdr:to>
      <xdr:col>11</xdr:col>
      <xdr:colOff>548640</xdr:colOff>
      <xdr:row>37</xdr:row>
      <xdr:rowOff>137160</xdr:rowOff>
    </xdr:to>
    <xdr:graphicFrame macro="">
      <xdr:nvGraphicFramePr>
        <xdr:cNvPr id="5" name="Chart 4">
          <a:extLst>
            <a:ext uri="{FF2B5EF4-FFF2-40B4-BE49-F238E27FC236}">
              <a16:creationId xmlns:a16="http://schemas.microsoft.com/office/drawing/2014/main" id="{C4DFC0B4-5FD8-4832-BC93-F5BDBE3E1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251994</xdr:colOff>
      <xdr:row>21</xdr:row>
      <xdr:rowOff>41844</xdr:rowOff>
    </xdr:from>
    <xdr:to>
      <xdr:col>21</xdr:col>
      <xdr:colOff>63767</xdr:colOff>
      <xdr:row>37</xdr:row>
      <xdr:rowOff>87564</xdr:rowOff>
    </xdr:to>
    <xdr:graphicFrame macro="">
      <xdr:nvGraphicFramePr>
        <xdr:cNvPr id="6" name="Chart 5">
          <a:extLst>
            <a:ext uri="{FF2B5EF4-FFF2-40B4-BE49-F238E27FC236}">
              <a16:creationId xmlns:a16="http://schemas.microsoft.com/office/drawing/2014/main" id="{4B141FBE-AB2B-464F-934C-E0747B1CF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121736</xdr:colOff>
      <xdr:row>21</xdr:row>
      <xdr:rowOff>150166</xdr:rowOff>
    </xdr:from>
    <xdr:to>
      <xdr:col>16</xdr:col>
      <xdr:colOff>169361</xdr:colOff>
      <xdr:row>33</xdr:row>
      <xdr:rowOff>1</xdr:rowOff>
    </xdr:to>
    <xdr:sp macro="" textlink="">
      <xdr:nvSpPr>
        <xdr:cNvPr id="7" name="Rectangle: Rounded Corners 6">
          <a:extLst>
            <a:ext uri="{FF2B5EF4-FFF2-40B4-BE49-F238E27FC236}">
              <a16:creationId xmlns:a16="http://schemas.microsoft.com/office/drawing/2014/main" id="{22F30484-4ED6-966B-15AD-767C99FFA5C6}"/>
            </a:ext>
          </a:extLst>
        </xdr:cNvPr>
        <xdr:cNvSpPr/>
      </xdr:nvSpPr>
      <xdr:spPr>
        <a:xfrm>
          <a:off x="7461818" y="3960166"/>
          <a:ext cx="2494319" cy="20269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Lucida Sans Typewriter" panose="020B0509030504030204" pitchFamily="49" charset="0"/>
            </a:rPr>
            <a:t>Total</a:t>
          </a:r>
          <a:r>
            <a:rPr lang="en-IN" sz="2800" b="1" baseline="0">
              <a:latin typeface="Lucida Sans Typewriter" panose="020B0509030504030204" pitchFamily="49" charset="0"/>
            </a:rPr>
            <a:t> Profit</a:t>
          </a:r>
        </a:p>
        <a:p>
          <a:pPr algn="ctr"/>
          <a:endParaRPr lang="en-IN" sz="2800" b="1" baseline="0">
            <a:latin typeface="Lucida Sans Typewriter" panose="020B0509030504030204" pitchFamily="49" charset="0"/>
          </a:endParaRPr>
        </a:p>
        <a:p>
          <a:pPr algn="ctr"/>
          <a:r>
            <a:rPr lang="en-IN" sz="2800" b="1" baseline="0">
              <a:latin typeface="Lucida Sans Typewriter" panose="020B0509030504030204" pitchFamily="49" charset="0"/>
            </a:rPr>
            <a:t>₹68287</a:t>
          </a:r>
        </a:p>
      </xdr:txBody>
    </xdr:sp>
    <xdr:clientData/>
  </xdr:twoCellAnchor>
  <xdr:twoCellAnchor editAs="oneCell">
    <xdr:from>
      <xdr:col>15</xdr:col>
      <xdr:colOff>119224</xdr:colOff>
      <xdr:row>28</xdr:row>
      <xdr:rowOff>178317</xdr:rowOff>
    </xdr:from>
    <xdr:to>
      <xdr:col>15</xdr:col>
      <xdr:colOff>440612</xdr:colOff>
      <xdr:row>30</xdr:row>
      <xdr:rowOff>136848</xdr:rowOff>
    </xdr:to>
    <xdr:pic>
      <xdr:nvPicPr>
        <xdr:cNvPr id="10" name="Graphic 9" descr="Back with solid fill">
          <a:extLst>
            <a:ext uri="{FF2B5EF4-FFF2-40B4-BE49-F238E27FC236}">
              <a16:creationId xmlns:a16="http://schemas.microsoft.com/office/drawing/2014/main" id="{6F37F0A3-B13B-F51E-0B8D-EF03CC45251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5400000">
          <a:off x="9294326" y="5258317"/>
          <a:ext cx="321388" cy="321388"/>
        </a:xfrm>
        <a:prstGeom prst="rect">
          <a:avLst/>
        </a:prstGeom>
      </xdr:spPr>
    </xdr:pic>
    <xdr:clientData/>
  </xdr:twoCellAnchor>
  <xdr:twoCellAnchor>
    <xdr:from>
      <xdr:col>21</xdr:col>
      <xdr:colOff>341587</xdr:colOff>
      <xdr:row>5</xdr:row>
      <xdr:rowOff>0</xdr:rowOff>
    </xdr:from>
    <xdr:to>
      <xdr:col>25</xdr:col>
      <xdr:colOff>328449</xdr:colOff>
      <xdr:row>19</xdr:row>
      <xdr:rowOff>91965</xdr:rowOff>
    </xdr:to>
    <xdr:sp macro="" textlink="">
      <xdr:nvSpPr>
        <xdr:cNvPr id="11" name="Rectangle: Rounded Corners 10">
          <a:extLst>
            <a:ext uri="{FF2B5EF4-FFF2-40B4-BE49-F238E27FC236}">
              <a16:creationId xmlns:a16="http://schemas.microsoft.com/office/drawing/2014/main" id="{63565124-0FD1-5E23-5555-5C510C64610E}"/>
            </a:ext>
          </a:extLst>
        </xdr:cNvPr>
        <xdr:cNvSpPr/>
      </xdr:nvSpPr>
      <xdr:spPr>
        <a:xfrm>
          <a:off x="13032828" y="919655"/>
          <a:ext cx="2404242" cy="2667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solidFill>
                <a:schemeClr val="lt1"/>
              </a:solidFill>
              <a:effectLst/>
              <a:latin typeface="Lucida Sans Typewriter" panose="020B0509030504030204" pitchFamily="49" charset="0"/>
              <a:ea typeface="+mn-ea"/>
              <a:cs typeface="+mn-cs"/>
            </a:rPr>
            <a:t>Total</a:t>
          </a:r>
          <a:r>
            <a:rPr lang="en-IN" sz="2800" b="1" baseline="0">
              <a:solidFill>
                <a:schemeClr val="lt1"/>
              </a:solidFill>
              <a:effectLst/>
              <a:latin typeface="Lucida Sans Typewriter" panose="020B0509030504030204" pitchFamily="49" charset="0"/>
              <a:ea typeface="+mn-ea"/>
              <a:cs typeface="+mn-cs"/>
            </a:rPr>
            <a:t> Turnover</a:t>
          </a:r>
          <a:br>
            <a:rPr lang="en-IN" sz="2800" b="1" baseline="0">
              <a:solidFill>
                <a:schemeClr val="lt1"/>
              </a:solidFill>
              <a:effectLst/>
              <a:latin typeface="Lucida Sans Typewriter" panose="020B0509030504030204" pitchFamily="49" charset="0"/>
              <a:ea typeface="+mn-ea"/>
              <a:cs typeface="+mn-cs"/>
            </a:rPr>
          </a:br>
          <a:endParaRPr lang="en-IN" sz="2800" b="1" baseline="0">
            <a:solidFill>
              <a:schemeClr val="lt1"/>
            </a:solidFill>
            <a:effectLst/>
            <a:latin typeface="Lucida Sans Typewriter" panose="020B0509030504030204" pitchFamily="49"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800" b="1" baseline="0">
              <a:solidFill>
                <a:schemeClr val="lt1"/>
              </a:solidFill>
              <a:effectLst/>
              <a:latin typeface="Lucida Sans Typewriter" panose="020B0509030504030204" pitchFamily="49" charset="0"/>
              <a:ea typeface="+mn-ea"/>
              <a:cs typeface="+mn-cs"/>
            </a:rPr>
            <a:t>195218</a:t>
          </a:r>
          <a:endParaRPr lang="en-IN" sz="2800">
            <a:effectLst/>
            <a:latin typeface="Lucida Sans Typewriter" panose="020B0509030504030204" pitchFamily="49" charset="0"/>
          </a:endParaRPr>
        </a:p>
      </xdr:txBody>
    </xdr:sp>
    <xdr:clientData/>
  </xdr:twoCellAnchor>
  <xdr:twoCellAnchor editAs="oneCell">
    <xdr:from>
      <xdr:col>22</xdr:col>
      <xdr:colOff>591206</xdr:colOff>
      <xdr:row>14</xdr:row>
      <xdr:rowOff>131380</xdr:rowOff>
    </xdr:from>
    <xdr:to>
      <xdr:col>24</xdr:col>
      <xdr:colOff>126122</xdr:colOff>
      <xdr:row>18</xdr:row>
      <xdr:rowOff>139261</xdr:rowOff>
    </xdr:to>
    <xdr:pic>
      <xdr:nvPicPr>
        <xdr:cNvPr id="13" name="Graphic 12" descr="Bullseye with solid fill">
          <a:extLst>
            <a:ext uri="{FF2B5EF4-FFF2-40B4-BE49-F238E27FC236}">
              <a16:creationId xmlns:a16="http://schemas.microsoft.com/office/drawing/2014/main" id="{17F30879-3798-59A5-6196-5B5F210702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886792" y="2706414"/>
          <a:ext cx="743606" cy="743606"/>
        </a:xfrm>
        <a:prstGeom prst="rect">
          <a:avLst/>
        </a:prstGeom>
      </xdr:spPr>
    </xdr:pic>
    <xdr:clientData/>
  </xdr:twoCellAnchor>
  <xdr:twoCellAnchor>
    <xdr:from>
      <xdr:col>21</xdr:col>
      <xdr:colOff>157656</xdr:colOff>
      <xdr:row>21</xdr:row>
      <xdr:rowOff>91965</xdr:rowOff>
    </xdr:from>
    <xdr:to>
      <xdr:col>25</xdr:col>
      <xdr:colOff>407276</xdr:colOff>
      <xdr:row>37</xdr:row>
      <xdr:rowOff>52552</xdr:rowOff>
    </xdr:to>
    <xdr:sp macro="" textlink="">
      <xdr:nvSpPr>
        <xdr:cNvPr id="14" name="Rectangle 13">
          <a:extLst>
            <a:ext uri="{FF2B5EF4-FFF2-40B4-BE49-F238E27FC236}">
              <a16:creationId xmlns:a16="http://schemas.microsoft.com/office/drawing/2014/main" id="{D23827E7-048D-73C6-446C-EFE01762570B}"/>
            </a:ext>
          </a:extLst>
        </xdr:cNvPr>
        <xdr:cNvSpPr/>
      </xdr:nvSpPr>
      <xdr:spPr>
        <a:xfrm>
          <a:off x="12848897" y="3954517"/>
          <a:ext cx="2667000" cy="290348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341586</xdr:colOff>
      <xdr:row>21</xdr:row>
      <xdr:rowOff>157655</xdr:rowOff>
    </xdr:from>
    <xdr:to>
      <xdr:col>25</xdr:col>
      <xdr:colOff>91965</xdr:colOff>
      <xdr:row>36</xdr:row>
      <xdr:rowOff>170793</xdr:rowOff>
    </xdr:to>
    <xdr:pic>
      <xdr:nvPicPr>
        <xdr:cNvPr id="15" name="Picture 14">
          <a:extLst>
            <a:ext uri="{FF2B5EF4-FFF2-40B4-BE49-F238E27FC236}">
              <a16:creationId xmlns:a16="http://schemas.microsoft.com/office/drawing/2014/main" id="{A9FD283B-BDF1-BB43-071B-20A5DB712CC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032827" y="4020207"/>
          <a:ext cx="2167759" cy="2772103"/>
        </a:xfrm>
        <a:prstGeom prst="rect">
          <a:avLst/>
        </a:prstGeom>
        <a:noFill/>
        <a:ln>
          <a:solidFill>
            <a:schemeClr val="bg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754380</xdr:colOff>
      <xdr:row>4</xdr:row>
      <xdr:rowOff>15240</xdr:rowOff>
    </xdr:from>
    <xdr:to>
      <xdr:col>11</xdr:col>
      <xdr:colOff>510540</xdr:colOff>
      <xdr:row>23</xdr:row>
      <xdr:rowOff>76200</xdr:rowOff>
    </xdr:to>
    <xdr:graphicFrame macro="">
      <xdr:nvGraphicFramePr>
        <xdr:cNvPr id="2" name="Chart 1">
          <a:extLst>
            <a:ext uri="{FF2B5EF4-FFF2-40B4-BE49-F238E27FC236}">
              <a16:creationId xmlns:a16="http://schemas.microsoft.com/office/drawing/2014/main" id="{6E5A68B3-72BF-E790-37A0-758510916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1</xdr:row>
      <xdr:rowOff>137160</xdr:rowOff>
    </xdr:from>
    <xdr:to>
      <xdr:col>11</xdr:col>
      <xdr:colOff>556260</xdr:colOff>
      <xdr:row>18</xdr:row>
      <xdr:rowOff>83820</xdr:rowOff>
    </xdr:to>
    <xdr:graphicFrame macro="">
      <xdr:nvGraphicFramePr>
        <xdr:cNvPr id="2" name="Chart 1">
          <a:extLst>
            <a:ext uri="{FF2B5EF4-FFF2-40B4-BE49-F238E27FC236}">
              <a16:creationId xmlns:a16="http://schemas.microsoft.com/office/drawing/2014/main" id="{E3079E46-CE63-18FD-BB90-B88EA8A9A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429201</xdr:colOff>
      <xdr:row>2</xdr:row>
      <xdr:rowOff>78768</xdr:rowOff>
    </xdr:from>
    <xdr:to>
      <xdr:col>8</xdr:col>
      <xdr:colOff>558564</xdr:colOff>
      <xdr:row>17</xdr:row>
      <xdr:rowOff>78769</xdr:rowOff>
    </xdr:to>
    <xdr:graphicFrame macro="">
      <xdr:nvGraphicFramePr>
        <xdr:cNvPr id="2" name="Chart 1">
          <a:extLst>
            <a:ext uri="{FF2B5EF4-FFF2-40B4-BE49-F238E27FC236}">
              <a16:creationId xmlns:a16="http://schemas.microsoft.com/office/drawing/2014/main" id="{BAE35744-334F-7B4D-1710-510312F58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480060</xdr:colOff>
      <xdr:row>2</xdr:row>
      <xdr:rowOff>26670</xdr:rowOff>
    </xdr:from>
    <xdr:to>
      <xdr:col>10</xdr:col>
      <xdr:colOff>175260</xdr:colOff>
      <xdr:row>17</xdr:row>
      <xdr:rowOff>26670</xdr:rowOff>
    </xdr:to>
    <xdr:graphicFrame macro="">
      <xdr:nvGraphicFramePr>
        <xdr:cNvPr id="2" name="Chart 1">
          <a:extLst>
            <a:ext uri="{FF2B5EF4-FFF2-40B4-BE49-F238E27FC236}">
              <a16:creationId xmlns:a16="http://schemas.microsoft.com/office/drawing/2014/main" id="{28F81BC4-CE68-D7B5-39FC-6CA00177D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335280</xdr:colOff>
      <xdr:row>2</xdr:row>
      <xdr:rowOff>19050</xdr:rowOff>
    </xdr:from>
    <xdr:to>
      <xdr:col>10</xdr:col>
      <xdr:colOff>30480</xdr:colOff>
      <xdr:row>17</xdr:row>
      <xdr:rowOff>19050</xdr:rowOff>
    </xdr:to>
    <xdr:graphicFrame macro="">
      <xdr:nvGraphicFramePr>
        <xdr:cNvPr id="2" name="Chart 1">
          <a:extLst>
            <a:ext uri="{FF2B5EF4-FFF2-40B4-BE49-F238E27FC236}">
              <a16:creationId xmlns:a16="http://schemas.microsoft.com/office/drawing/2014/main" id="{13AB8D55-1215-D93A-EE49-C7B11546F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236220</xdr:colOff>
      <xdr:row>2</xdr:row>
      <xdr:rowOff>163830</xdr:rowOff>
    </xdr:from>
    <xdr:to>
      <xdr:col>9</xdr:col>
      <xdr:colOff>129540</xdr:colOff>
      <xdr:row>17</xdr:row>
      <xdr:rowOff>163830</xdr:rowOff>
    </xdr:to>
    <xdr:graphicFrame macro="">
      <xdr:nvGraphicFramePr>
        <xdr:cNvPr id="2" name="Chart 1">
          <a:extLst>
            <a:ext uri="{FF2B5EF4-FFF2-40B4-BE49-F238E27FC236}">
              <a16:creationId xmlns:a16="http://schemas.microsoft.com/office/drawing/2014/main" id="{C6FFFF56-E3EA-D9B7-4FE6-DCB2935B2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373380</xdr:colOff>
      <xdr:row>1</xdr:row>
      <xdr:rowOff>148590</xdr:rowOff>
    </xdr:from>
    <xdr:to>
      <xdr:col>11</xdr:col>
      <xdr:colOff>411480</xdr:colOff>
      <xdr:row>22</xdr:row>
      <xdr:rowOff>45720</xdr:rowOff>
    </xdr:to>
    <xdr:graphicFrame macro="">
      <xdr:nvGraphicFramePr>
        <xdr:cNvPr id="2" name="Chart 1">
          <a:extLst>
            <a:ext uri="{FF2B5EF4-FFF2-40B4-BE49-F238E27FC236}">
              <a16:creationId xmlns:a16="http://schemas.microsoft.com/office/drawing/2014/main" id="{E2746A44-EAB7-C5DE-E47C-421CFF4B8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al Soni" refreshedDate="46072.763055324074" createdVersion="8" refreshedVersion="8" minRefreshableVersion="3" recordCount="200" xr:uid="{A442C59C-3097-40ED-8CD3-282D8D926B10}">
  <cacheSource type="worksheet">
    <worksheetSource name="Table1"/>
  </cacheSource>
  <cacheFields count="13">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ount="19">
        <n v="4"/>
        <n v="3"/>
        <n v="17"/>
        <n v="12"/>
        <n v="8"/>
        <n v="6"/>
        <n v="11"/>
        <n v="2"/>
        <n v="14"/>
        <n v="7"/>
        <n v="15"/>
        <n v="10"/>
        <n v="13"/>
        <n v="9"/>
        <n v="18"/>
        <n v="19"/>
        <n v="5"/>
        <n v="1"/>
        <n v="16"/>
      </sharedItems>
    </cacheField>
    <cacheField name="Discount" numFmtId="0">
      <sharedItems containsSemiMixedTypes="0" containsString="0" containsNumber="1" minValue="0" maxValue="0.2" count="5">
        <n v="0.2"/>
        <n v="0"/>
        <n v="0.15"/>
        <n v="0.1"/>
        <n v="0.05"/>
      </sharedItems>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Profit" numFmtId="0">
      <sharedItems containsSemiMixedTypes="0" containsString="0" containsNumber="1" minValue="64.63" maxValue="769.46"/>
    </cacheField>
    <cacheField name="Month" numFmtId="0">
      <sharedItems count="12">
        <s v="Apr"/>
        <s v="May"/>
        <s v="Jun"/>
        <s v="Jul"/>
        <s v="Aug"/>
        <s v="Sep"/>
        <s v="Oct"/>
        <s v="Nov"/>
        <s v="Dec"/>
        <s v="Jan"/>
        <s v="Feb"/>
        <s v="Mar"/>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x v="0"/>
    <n v="331.55"/>
    <x v="0"/>
  </r>
  <r>
    <x v="1"/>
    <x v="1"/>
    <x v="0"/>
    <x v="1"/>
    <x v="1"/>
    <x v="1"/>
    <x v="0"/>
    <x v="1"/>
    <n v="440.51"/>
    <x v="0"/>
  </r>
  <r>
    <x v="2"/>
    <x v="2"/>
    <x v="1"/>
    <x v="0"/>
    <x v="2"/>
    <x v="2"/>
    <x v="1"/>
    <x v="2"/>
    <n v="285.33999999999997"/>
    <x v="0"/>
  </r>
  <r>
    <x v="3"/>
    <x v="1"/>
    <x v="2"/>
    <x v="2"/>
    <x v="3"/>
    <x v="0"/>
    <x v="2"/>
    <x v="2"/>
    <n v="161.69999999999999"/>
    <x v="0"/>
  </r>
  <r>
    <x v="4"/>
    <x v="3"/>
    <x v="3"/>
    <x v="0"/>
    <x v="4"/>
    <x v="3"/>
    <x v="0"/>
    <x v="3"/>
    <n v="271.04000000000002"/>
    <x v="0"/>
  </r>
  <r>
    <x v="5"/>
    <x v="4"/>
    <x v="3"/>
    <x v="3"/>
    <x v="5"/>
    <x v="4"/>
    <x v="3"/>
    <x v="4"/>
    <n v="304.18"/>
    <x v="0"/>
  </r>
  <r>
    <x v="6"/>
    <x v="5"/>
    <x v="0"/>
    <x v="2"/>
    <x v="6"/>
    <x v="3"/>
    <x v="4"/>
    <x v="4"/>
    <n v="312.91000000000003"/>
    <x v="0"/>
  </r>
  <r>
    <x v="7"/>
    <x v="6"/>
    <x v="1"/>
    <x v="3"/>
    <x v="7"/>
    <x v="5"/>
    <x v="0"/>
    <x v="5"/>
    <n v="300.85000000000002"/>
    <x v="0"/>
  </r>
  <r>
    <x v="8"/>
    <x v="7"/>
    <x v="4"/>
    <x v="0"/>
    <x v="8"/>
    <x v="6"/>
    <x v="4"/>
    <x v="5"/>
    <n v="190.59"/>
    <x v="0"/>
  </r>
  <r>
    <x v="9"/>
    <x v="8"/>
    <x v="4"/>
    <x v="1"/>
    <x v="9"/>
    <x v="7"/>
    <x v="4"/>
    <x v="5"/>
    <n v="350.22"/>
    <x v="0"/>
  </r>
  <r>
    <x v="10"/>
    <x v="9"/>
    <x v="0"/>
    <x v="4"/>
    <x v="10"/>
    <x v="5"/>
    <x v="4"/>
    <x v="6"/>
    <n v="672.38"/>
    <x v="0"/>
  </r>
  <r>
    <x v="10"/>
    <x v="8"/>
    <x v="4"/>
    <x v="0"/>
    <x v="11"/>
    <x v="8"/>
    <x v="2"/>
    <x v="7"/>
    <n v="456.66"/>
    <x v="0"/>
  </r>
  <r>
    <x v="5"/>
    <x v="4"/>
    <x v="4"/>
    <x v="0"/>
    <x v="12"/>
    <x v="8"/>
    <x v="4"/>
    <x v="8"/>
    <n v="452.8"/>
    <x v="0"/>
  </r>
  <r>
    <x v="11"/>
    <x v="1"/>
    <x v="0"/>
    <x v="3"/>
    <x v="13"/>
    <x v="9"/>
    <x v="4"/>
    <x v="8"/>
    <n v="273.41000000000003"/>
    <x v="0"/>
  </r>
  <r>
    <x v="12"/>
    <x v="10"/>
    <x v="3"/>
    <x v="3"/>
    <x v="14"/>
    <x v="10"/>
    <x v="2"/>
    <x v="9"/>
    <n v="155.19999999999999"/>
    <x v="0"/>
  </r>
  <r>
    <x v="3"/>
    <x v="11"/>
    <x v="2"/>
    <x v="2"/>
    <x v="15"/>
    <x v="8"/>
    <x v="0"/>
    <x v="10"/>
    <n v="300.58999999999997"/>
    <x v="0"/>
  </r>
  <r>
    <x v="13"/>
    <x v="1"/>
    <x v="2"/>
    <x v="0"/>
    <x v="16"/>
    <x v="11"/>
    <x v="2"/>
    <x v="11"/>
    <n v="298.38"/>
    <x v="0"/>
  </r>
  <r>
    <x v="6"/>
    <x v="12"/>
    <x v="0"/>
    <x v="0"/>
    <x v="17"/>
    <x v="0"/>
    <x v="0"/>
    <x v="11"/>
    <n v="203.74"/>
    <x v="0"/>
  </r>
  <r>
    <x v="14"/>
    <x v="13"/>
    <x v="0"/>
    <x v="0"/>
    <x v="18"/>
    <x v="12"/>
    <x v="0"/>
    <x v="12"/>
    <n v="481.96"/>
    <x v="0"/>
  </r>
  <r>
    <x v="7"/>
    <x v="6"/>
    <x v="4"/>
    <x v="2"/>
    <x v="19"/>
    <x v="0"/>
    <x v="1"/>
    <x v="13"/>
    <n v="161.26"/>
    <x v="1"/>
  </r>
  <r>
    <x v="5"/>
    <x v="14"/>
    <x v="2"/>
    <x v="1"/>
    <x v="20"/>
    <x v="6"/>
    <x v="1"/>
    <x v="14"/>
    <n v="476.65"/>
    <x v="1"/>
  </r>
  <r>
    <x v="15"/>
    <x v="1"/>
    <x v="3"/>
    <x v="2"/>
    <x v="21"/>
    <x v="8"/>
    <x v="2"/>
    <x v="15"/>
    <n v="82.57"/>
    <x v="1"/>
  </r>
  <r>
    <x v="0"/>
    <x v="6"/>
    <x v="0"/>
    <x v="0"/>
    <x v="22"/>
    <x v="13"/>
    <x v="1"/>
    <x v="15"/>
    <n v="297.27"/>
    <x v="1"/>
  </r>
  <r>
    <x v="11"/>
    <x v="6"/>
    <x v="4"/>
    <x v="2"/>
    <x v="23"/>
    <x v="5"/>
    <x v="1"/>
    <x v="15"/>
    <n v="176.59"/>
    <x v="1"/>
  </r>
  <r>
    <x v="1"/>
    <x v="6"/>
    <x v="4"/>
    <x v="4"/>
    <x v="24"/>
    <x v="4"/>
    <x v="3"/>
    <x v="16"/>
    <n v="374.75"/>
    <x v="1"/>
  </r>
  <r>
    <x v="9"/>
    <x v="15"/>
    <x v="2"/>
    <x v="2"/>
    <x v="25"/>
    <x v="14"/>
    <x v="1"/>
    <x v="16"/>
    <n v="293.27999999999997"/>
    <x v="1"/>
  </r>
  <r>
    <x v="4"/>
    <x v="16"/>
    <x v="3"/>
    <x v="3"/>
    <x v="26"/>
    <x v="2"/>
    <x v="1"/>
    <x v="17"/>
    <n v="236.44"/>
    <x v="1"/>
  </r>
  <r>
    <x v="5"/>
    <x v="1"/>
    <x v="4"/>
    <x v="0"/>
    <x v="27"/>
    <x v="7"/>
    <x v="4"/>
    <x v="18"/>
    <n v="356.85"/>
    <x v="1"/>
  </r>
  <r>
    <x v="16"/>
    <x v="17"/>
    <x v="1"/>
    <x v="4"/>
    <x v="28"/>
    <x v="15"/>
    <x v="3"/>
    <x v="19"/>
    <n v="398.25"/>
    <x v="1"/>
  </r>
  <r>
    <x v="16"/>
    <x v="3"/>
    <x v="2"/>
    <x v="2"/>
    <x v="29"/>
    <x v="1"/>
    <x v="0"/>
    <x v="19"/>
    <n v="160.24"/>
    <x v="1"/>
  </r>
  <r>
    <x v="17"/>
    <x v="18"/>
    <x v="3"/>
    <x v="2"/>
    <x v="30"/>
    <x v="16"/>
    <x v="3"/>
    <x v="20"/>
    <n v="326.41000000000003"/>
    <x v="1"/>
  </r>
  <r>
    <x v="15"/>
    <x v="19"/>
    <x v="4"/>
    <x v="0"/>
    <x v="31"/>
    <x v="14"/>
    <x v="4"/>
    <x v="21"/>
    <n v="388.82"/>
    <x v="1"/>
  </r>
  <r>
    <x v="6"/>
    <x v="13"/>
    <x v="0"/>
    <x v="3"/>
    <x v="32"/>
    <x v="16"/>
    <x v="2"/>
    <x v="21"/>
    <n v="253.98"/>
    <x v="1"/>
  </r>
  <r>
    <x v="18"/>
    <x v="11"/>
    <x v="2"/>
    <x v="2"/>
    <x v="33"/>
    <x v="11"/>
    <x v="3"/>
    <x v="22"/>
    <n v="217.78"/>
    <x v="1"/>
  </r>
  <r>
    <x v="19"/>
    <x v="17"/>
    <x v="3"/>
    <x v="4"/>
    <x v="34"/>
    <x v="8"/>
    <x v="4"/>
    <x v="22"/>
    <n v="513.38"/>
    <x v="1"/>
  </r>
  <r>
    <x v="1"/>
    <x v="4"/>
    <x v="0"/>
    <x v="0"/>
    <x v="35"/>
    <x v="3"/>
    <x v="0"/>
    <x v="22"/>
    <n v="151.16"/>
    <x v="1"/>
  </r>
  <r>
    <x v="0"/>
    <x v="18"/>
    <x v="1"/>
    <x v="4"/>
    <x v="36"/>
    <x v="13"/>
    <x v="4"/>
    <x v="22"/>
    <n v="359.49"/>
    <x v="1"/>
  </r>
  <r>
    <x v="16"/>
    <x v="14"/>
    <x v="4"/>
    <x v="3"/>
    <x v="37"/>
    <x v="6"/>
    <x v="4"/>
    <x v="23"/>
    <n v="468.84"/>
    <x v="1"/>
  </r>
  <r>
    <x v="13"/>
    <x v="20"/>
    <x v="4"/>
    <x v="3"/>
    <x v="38"/>
    <x v="12"/>
    <x v="2"/>
    <x v="23"/>
    <n v="229.99"/>
    <x v="1"/>
  </r>
  <r>
    <x v="20"/>
    <x v="21"/>
    <x v="1"/>
    <x v="0"/>
    <x v="39"/>
    <x v="15"/>
    <x v="2"/>
    <x v="24"/>
    <n v="197.35"/>
    <x v="1"/>
  </r>
  <r>
    <x v="3"/>
    <x v="10"/>
    <x v="2"/>
    <x v="0"/>
    <x v="40"/>
    <x v="10"/>
    <x v="3"/>
    <x v="25"/>
    <n v="414.44"/>
    <x v="2"/>
  </r>
  <r>
    <x v="16"/>
    <x v="3"/>
    <x v="4"/>
    <x v="4"/>
    <x v="41"/>
    <x v="16"/>
    <x v="0"/>
    <x v="26"/>
    <n v="369.35"/>
    <x v="2"/>
  </r>
  <r>
    <x v="11"/>
    <x v="19"/>
    <x v="1"/>
    <x v="4"/>
    <x v="42"/>
    <x v="6"/>
    <x v="2"/>
    <x v="26"/>
    <n v="212.83"/>
    <x v="2"/>
  </r>
  <r>
    <x v="18"/>
    <x v="3"/>
    <x v="4"/>
    <x v="0"/>
    <x v="43"/>
    <x v="15"/>
    <x v="3"/>
    <x v="27"/>
    <n v="302.70999999999998"/>
    <x v="2"/>
  </r>
  <r>
    <x v="7"/>
    <x v="21"/>
    <x v="3"/>
    <x v="3"/>
    <x v="44"/>
    <x v="3"/>
    <x v="2"/>
    <x v="27"/>
    <n v="365.11"/>
    <x v="2"/>
  </r>
  <r>
    <x v="2"/>
    <x v="22"/>
    <x v="4"/>
    <x v="2"/>
    <x v="45"/>
    <x v="7"/>
    <x v="1"/>
    <x v="28"/>
    <n v="214.18"/>
    <x v="2"/>
  </r>
  <r>
    <x v="17"/>
    <x v="19"/>
    <x v="4"/>
    <x v="4"/>
    <x v="46"/>
    <x v="4"/>
    <x v="2"/>
    <x v="28"/>
    <n v="468.72"/>
    <x v="2"/>
  </r>
  <r>
    <x v="21"/>
    <x v="6"/>
    <x v="3"/>
    <x v="4"/>
    <x v="47"/>
    <x v="3"/>
    <x v="1"/>
    <x v="29"/>
    <n v="450.71"/>
    <x v="2"/>
  </r>
  <r>
    <x v="18"/>
    <x v="4"/>
    <x v="1"/>
    <x v="3"/>
    <x v="48"/>
    <x v="15"/>
    <x v="0"/>
    <x v="30"/>
    <n v="332.32"/>
    <x v="2"/>
  </r>
  <r>
    <x v="13"/>
    <x v="16"/>
    <x v="2"/>
    <x v="2"/>
    <x v="49"/>
    <x v="5"/>
    <x v="3"/>
    <x v="31"/>
    <n v="174.48"/>
    <x v="2"/>
  </r>
  <r>
    <x v="5"/>
    <x v="7"/>
    <x v="2"/>
    <x v="2"/>
    <x v="50"/>
    <x v="5"/>
    <x v="4"/>
    <x v="32"/>
    <n v="242.6"/>
    <x v="2"/>
  </r>
  <r>
    <x v="19"/>
    <x v="3"/>
    <x v="2"/>
    <x v="1"/>
    <x v="51"/>
    <x v="9"/>
    <x v="3"/>
    <x v="33"/>
    <n v="551.98"/>
    <x v="2"/>
  </r>
  <r>
    <x v="4"/>
    <x v="23"/>
    <x v="2"/>
    <x v="3"/>
    <x v="52"/>
    <x v="7"/>
    <x v="1"/>
    <x v="34"/>
    <n v="380.43"/>
    <x v="2"/>
  </r>
  <r>
    <x v="22"/>
    <x v="14"/>
    <x v="0"/>
    <x v="0"/>
    <x v="53"/>
    <x v="14"/>
    <x v="3"/>
    <x v="35"/>
    <n v="339.44"/>
    <x v="2"/>
  </r>
  <r>
    <x v="8"/>
    <x v="9"/>
    <x v="3"/>
    <x v="2"/>
    <x v="54"/>
    <x v="10"/>
    <x v="2"/>
    <x v="36"/>
    <n v="173.99"/>
    <x v="2"/>
  </r>
  <r>
    <x v="3"/>
    <x v="1"/>
    <x v="2"/>
    <x v="3"/>
    <x v="55"/>
    <x v="11"/>
    <x v="0"/>
    <x v="36"/>
    <n v="257.33"/>
    <x v="2"/>
  </r>
  <r>
    <x v="4"/>
    <x v="24"/>
    <x v="4"/>
    <x v="0"/>
    <x v="56"/>
    <x v="6"/>
    <x v="1"/>
    <x v="37"/>
    <n v="389.3"/>
    <x v="2"/>
  </r>
  <r>
    <x v="12"/>
    <x v="23"/>
    <x v="3"/>
    <x v="2"/>
    <x v="57"/>
    <x v="17"/>
    <x v="0"/>
    <x v="38"/>
    <n v="148.32"/>
    <x v="2"/>
  </r>
  <r>
    <x v="23"/>
    <x v="9"/>
    <x v="3"/>
    <x v="0"/>
    <x v="58"/>
    <x v="7"/>
    <x v="3"/>
    <x v="39"/>
    <n v="449.58"/>
    <x v="2"/>
  </r>
  <r>
    <x v="1"/>
    <x v="20"/>
    <x v="0"/>
    <x v="1"/>
    <x v="59"/>
    <x v="2"/>
    <x v="1"/>
    <x v="39"/>
    <n v="680.18"/>
    <x v="2"/>
  </r>
  <r>
    <x v="18"/>
    <x v="6"/>
    <x v="1"/>
    <x v="0"/>
    <x v="60"/>
    <x v="4"/>
    <x v="3"/>
    <x v="40"/>
    <n v="497.99"/>
    <x v="3"/>
  </r>
  <r>
    <x v="9"/>
    <x v="18"/>
    <x v="4"/>
    <x v="4"/>
    <x v="61"/>
    <x v="13"/>
    <x v="1"/>
    <x v="41"/>
    <n v="220.05"/>
    <x v="3"/>
  </r>
  <r>
    <x v="7"/>
    <x v="6"/>
    <x v="1"/>
    <x v="3"/>
    <x v="62"/>
    <x v="2"/>
    <x v="3"/>
    <x v="42"/>
    <n v="294.12"/>
    <x v="3"/>
  </r>
  <r>
    <x v="23"/>
    <x v="0"/>
    <x v="0"/>
    <x v="2"/>
    <x v="63"/>
    <x v="2"/>
    <x v="0"/>
    <x v="42"/>
    <n v="201.11"/>
    <x v="3"/>
  </r>
  <r>
    <x v="12"/>
    <x v="21"/>
    <x v="2"/>
    <x v="2"/>
    <x v="64"/>
    <x v="16"/>
    <x v="4"/>
    <x v="43"/>
    <n v="261.27"/>
    <x v="3"/>
  </r>
  <r>
    <x v="23"/>
    <x v="3"/>
    <x v="3"/>
    <x v="3"/>
    <x v="65"/>
    <x v="10"/>
    <x v="2"/>
    <x v="44"/>
    <n v="307.82"/>
    <x v="3"/>
  </r>
  <r>
    <x v="22"/>
    <x v="6"/>
    <x v="2"/>
    <x v="0"/>
    <x v="66"/>
    <x v="3"/>
    <x v="4"/>
    <x v="45"/>
    <n v="333.05"/>
    <x v="3"/>
  </r>
  <r>
    <x v="24"/>
    <x v="18"/>
    <x v="0"/>
    <x v="3"/>
    <x v="67"/>
    <x v="16"/>
    <x v="4"/>
    <x v="45"/>
    <n v="455.97"/>
    <x v="3"/>
  </r>
  <r>
    <x v="18"/>
    <x v="13"/>
    <x v="3"/>
    <x v="2"/>
    <x v="68"/>
    <x v="6"/>
    <x v="4"/>
    <x v="46"/>
    <n v="242.31"/>
    <x v="3"/>
  </r>
  <r>
    <x v="13"/>
    <x v="0"/>
    <x v="4"/>
    <x v="4"/>
    <x v="69"/>
    <x v="17"/>
    <x v="4"/>
    <x v="47"/>
    <n v="344.06"/>
    <x v="3"/>
  </r>
  <r>
    <x v="4"/>
    <x v="18"/>
    <x v="4"/>
    <x v="2"/>
    <x v="70"/>
    <x v="17"/>
    <x v="4"/>
    <x v="48"/>
    <n v="144.56"/>
    <x v="3"/>
  </r>
  <r>
    <x v="24"/>
    <x v="25"/>
    <x v="2"/>
    <x v="4"/>
    <x v="71"/>
    <x v="15"/>
    <x v="1"/>
    <x v="49"/>
    <n v="441.54"/>
    <x v="3"/>
  </r>
  <r>
    <x v="25"/>
    <x v="18"/>
    <x v="1"/>
    <x v="2"/>
    <x v="72"/>
    <x v="11"/>
    <x v="2"/>
    <x v="50"/>
    <n v="114.7"/>
    <x v="4"/>
  </r>
  <r>
    <x v="1"/>
    <x v="26"/>
    <x v="2"/>
    <x v="0"/>
    <x v="73"/>
    <x v="16"/>
    <x v="0"/>
    <x v="50"/>
    <n v="257.42"/>
    <x v="4"/>
  </r>
  <r>
    <x v="25"/>
    <x v="9"/>
    <x v="0"/>
    <x v="2"/>
    <x v="74"/>
    <x v="12"/>
    <x v="0"/>
    <x v="51"/>
    <n v="305.32"/>
    <x v="4"/>
  </r>
  <r>
    <x v="1"/>
    <x v="5"/>
    <x v="0"/>
    <x v="2"/>
    <x v="75"/>
    <x v="16"/>
    <x v="2"/>
    <x v="52"/>
    <n v="258.24"/>
    <x v="4"/>
  </r>
  <r>
    <x v="3"/>
    <x v="17"/>
    <x v="4"/>
    <x v="3"/>
    <x v="76"/>
    <x v="1"/>
    <x v="1"/>
    <x v="53"/>
    <n v="441.47"/>
    <x v="4"/>
  </r>
  <r>
    <x v="26"/>
    <x v="12"/>
    <x v="3"/>
    <x v="3"/>
    <x v="77"/>
    <x v="9"/>
    <x v="4"/>
    <x v="54"/>
    <n v="172.26"/>
    <x v="4"/>
  </r>
  <r>
    <x v="7"/>
    <x v="5"/>
    <x v="0"/>
    <x v="4"/>
    <x v="78"/>
    <x v="17"/>
    <x v="1"/>
    <x v="55"/>
    <n v="500.1"/>
    <x v="4"/>
  </r>
  <r>
    <x v="4"/>
    <x v="6"/>
    <x v="1"/>
    <x v="1"/>
    <x v="79"/>
    <x v="14"/>
    <x v="3"/>
    <x v="56"/>
    <n v="581.16"/>
    <x v="4"/>
  </r>
  <r>
    <x v="5"/>
    <x v="18"/>
    <x v="3"/>
    <x v="0"/>
    <x v="80"/>
    <x v="15"/>
    <x v="1"/>
    <x v="57"/>
    <n v="271.88"/>
    <x v="4"/>
  </r>
  <r>
    <x v="24"/>
    <x v="7"/>
    <x v="1"/>
    <x v="3"/>
    <x v="81"/>
    <x v="2"/>
    <x v="1"/>
    <x v="57"/>
    <n v="400.29"/>
    <x v="4"/>
  </r>
  <r>
    <x v="16"/>
    <x v="15"/>
    <x v="4"/>
    <x v="2"/>
    <x v="82"/>
    <x v="9"/>
    <x v="3"/>
    <x v="58"/>
    <n v="177.77"/>
    <x v="5"/>
  </r>
  <r>
    <x v="3"/>
    <x v="14"/>
    <x v="4"/>
    <x v="0"/>
    <x v="83"/>
    <x v="9"/>
    <x v="4"/>
    <x v="58"/>
    <n v="406.86"/>
    <x v="5"/>
  </r>
  <r>
    <x v="19"/>
    <x v="8"/>
    <x v="0"/>
    <x v="1"/>
    <x v="84"/>
    <x v="0"/>
    <x v="3"/>
    <x v="59"/>
    <n v="526"/>
    <x v="5"/>
  </r>
  <r>
    <x v="23"/>
    <x v="0"/>
    <x v="2"/>
    <x v="2"/>
    <x v="85"/>
    <x v="2"/>
    <x v="1"/>
    <x v="59"/>
    <n v="333.97"/>
    <x v="5"/>
  </r>
  <r>
    <x v="11"/>
    <x v="18"/>
    <x v="1"/>
    <x v="3"/>
    <x v="86"/>
    <x v="13"/>
    <x v="1"/>
    <x v="60"/>
    <n v="305.8"/>
    <x v="5"/>
  </r>
  <r>
    <x v="26"/>
    <x v="23"/>
    <x v="0"/>
    <x v="4"/>
    <x v="87"/>
    <x v="15"/>
    <x v="1"/>
    <x v="61"/>
    <n v="649.79"/>
    <x v="5"/>
  </r>
  <r>
    <x v="11"/>
    <x v="3"/>
    <x v="1"/>
    <x v="4"/>
    <x v="88"/>
    <x v="6"/>
    <x v="2"/>
    <x v="62"/>
    <n v="441.53"/>
    <x v="5"/>
  </r>
  <r>
    <x v="15"/>
    <x v="15"/>
    <x v="2"/>
    <x v="0"/>
    <x v="89"/>
    <x v="18"/>
    <x v="4"/>
    <x v="62"/>
    <n v="480.51"/>
    <x v="5"/>
  </r>
  <r>
    <x v="5"/>
    <x v="24"/>
    <x v="0"/>
    <x v="3"/>
    <x v="90"/>
    <x v="0"/>
    <x v="3"/>
    <x v="63"/>
    <n v="346.99"/>
    <x v="5"/>
  </r>
  <r>
    <x v="27"/>
    <x v="1"/>
    <x v="2"/>
    <x v="3"/>
    <x v="91"/>
    <x v="17"/>
    <x v="3"/>
    <x v="64"/>
    <n v="229.23"/>
    <x v="5"/>
  </r>
  <r>
    <x v="28"/>
    <x v="9"/>
    <x v="1"/>
    <x v="4"/>
    <x v="92"/>
    <x v="12"/>
    <x v="2"/>
    <x v="64"/>
    <n v="334.84"/>
    <x v="5"/>
  </r>
  <r>
    <x v="23"/>
    <x v="3"/>
    <x v="0"/>
    <x v="2"/>
    <x v="93"/>
    <x v="15"/>
    <x v="0"/>
    <x v="65"/>
    <n v="231.79"/>
    <x v="5"/>
  </r>
  <r>
    <x v="29"/>
    <x v="13"/>
    <x v="2"/>
    <x v="0"/>
    <x v="94"/>
    <x v="7"/>
    <x v="2"/>
    <x v="66"/>
    <n v="328.54"/>
    <x v="5"/>
  </r>
  <r>
    <x v="24"/>
    <x v="2"/>
    <x v="2"/>
    <x v="0"/>
    <x v="95"/>
    <x v="5"/>
    <x v="1"/>
    <x v="67"/>
    <n v="366.99"/>
    <x v="5"/>
  </r>
  <r>
    <x v="12"/>
    <x v="21"/>
    <x v="0"/>
    <x v="3"/>
    <x v="96"/>
    <x v="9"/>
    <x v="2"/>
    <x v="68"/>
    <n v="348.96"/>
    <x v="5"/>
  </r>
  <r>
    <x v="18"/>
    <x v="3"/>
    <x v="3"/>
    <x v="1"/>
    <x v="97"/>
    <x v="6"/>
    <x v="3"/>
    <x v="68"/>
    <n v="542.62"/>
    <x v="5"/>
  </r>
  <r>
    <x v="2"/>
    <x v="23"/>
    <x v="0"/>
    <x v="4"/>
    <x v="98"/>
    <x v="11"/>
    <x v="0"/>
    <x v="69"/>
    <n v="297.69"/>
    <x v="5"/>
  </r>
  <r>
    <x v="23"/>
    <x v="3"/>
    <x v="4"/>
    <x v="1"/>
    <x v="99"/>
    <x v="3"/>
    <x v="1"/>
    <x v="69"/>
    <n v="451.1"/>
    <x v="5"/>
  </r>
  <r>
    <x v="28"/>
    <x v="9"/>
    <x v="3"/>
    <x v="0"/>
    <x v="100"/>
    <x v="2"/>
    <x v="3"/>
    <x v="70"/>
    <n v="210.95"/>
    <x v="5"/>
  </r>
  <r>
    <x v="20"/>
    <x v="4"/>
    <x v="3"/>
    <x v="1"/>
    <x v="101"/>
    <x v="4"/>
    <x v="3"/>
    <x v="70"/>
    <n v="445.59"/>
    <x v="5"/>
  </r>
  <r>
    <x v="13"/>
    <x v="19"/>
    <x v="4"/>
    <x v="2"/>
    <x v="102"/>
    <x v="12"/>
    <x v="0"/>
    <x v="71"/>
    <n v="202.82"/>
    <x v="6"/>
  </r>
  <r>
    <x v="1"/>
    <x v="14"/>
    <x v="3"/>
    <x v="2"/>
    <x v="103"/>
    <x v="2"/>
    <x v="1"/>
    <x v="72"/>
    <n v="231.32"/>
    <x v="6"/>
  </r>
  <r>
    <x v="17"/>
    <x v="13"/>
    <x v="1"/>
    <x v="3"/>
    <x v="104"/>
    <x v="4"/>
    <x v="1"/>
    <x v="73"/>
    <n v="450.29"/>
    <x v="6"/>
  </r>
  <r>
    <x v="10"/>
    <x v="23"/>
    <x v="2"/>
    <x v="0"/>
    <x v="105"/>
    <x v="4"/>
    <x v="0"/>
    <x v="74"/>
    <n v="307.72000000000003"/>
    <x v="6"/>
  </r>
  <r>
    <x v="13"/>
    <x v="3"/>
    <x v="1"/>
    <x v="0"/>
    <x v="106"/>
    <x v="15"/>
    <x v="2"/>
    <x v="74"/>
    <n v="367.59"/>
    <x v="6"/>
  </r>
  <r>
    <x v="19"/>
    <x v="3"/>
    <x v="0"/>
    <x v="1"/>
    <x v="107"/>
    <x v="13"/>
    <x v="0"/>
    <x v="75"/>
    <n v="769.46"/>
    <x v="6"/>
  </r>
  <r>
    <x v="17"/>
    <x v="24"/>
    <x v="4"/>
    <x v="1"/>
    <x v="108"/>
    <x v="8"/>
    <x v="3"/>
    <x v="76"/>
    <n v="327.92"/>
    <x v="6"/>
  </r>
  <r>
    <x v="0"/>
    <x v="7"/>
    <x v="4"/>
    <x v="1"/>
    <x v="109"/>
    <x v="9"/>
    <x v="2"/>
    <x v="76"/>
    <n v="553.29999999999995"/>
    <x v="6"/>
  </r>
  <r>
    <x v="25"/>
    <x v="24"/>
    <x v="1"/>
    <x v="0"/>
    <x v="110"/>
    <x v="18"/>
    <x v="3"/>
    <x v="77"/>
    <n v="352.86"/>
    <x v="6"/>
  </r>
  <r>
    <x v="28"/>
    <x v="3"/>
    <x v="0"/>
    <x v="1"/>
    <x v="111"/>
    <x v="2"/>
    <x v="3"/>
    <x v="78"/>
    <n v="313.91000000000003"/>
    <x v="6"/>
  </r>
  <r>
    <x v="14"/>
    <x v="26"/>
    <x v="0"/>
    <x v="3"/>
    <x v="112"/>
    <x v="17"/>
    <x v="2"/>
    <x v="78"/>
    <n v="355.1"/>
    <x v="6"/>
  </r>
  <r>
    <x v="8"/>
    <x v="9"/>
    <x v="2"/>
    <x v="2"/>
    <x v="113"/>
    <x v="17"/>
    <x v="1"/>
    <x v="79"/>
    <n v="192.76"/>
    <x v="6"/>
  </r>
  <r>
    <x v="23"/>
    <x v="25"/>
    <x v="3"/>
    <x v="1"/>
    <x v="114"/>
    <x v="17"/>
    <x v="0"/>
    <x v="80"/>
    <n v="264.44"/>
    <x v="6"/>
  </r>
  <r>
    <x v="1"/>
    <x v="18"/>
    <x v="0"/>
    <x v="2"/>
    <x v="115"/>
    <x v="10"/>
    <x v="1"/>
    <x v="81"/>
    <n v="172.21"/>
    <x v="6"/>
  </r>
  <r>
    <x v="27"/>
    <x v="5"/>
    <x v="4"/>
    <x v="0"/>
    <x v="116"/>
    <x v="0"/>
    <x v="4"/>
    <x v="82"/>
    <n v="474.66"/>
    <x v="7"/>
  </r>
  <r>
    <x v="13"/>
    <x v="3"/>
    <x v="1"/>
    <x v="4"/>
    <x v="117"/>
    <x v="8"/>
    <x v="4"/>
    <x v="83"/>
    <n v="433.58"/>
    <x v="7"/>
  </r>
  <r>
    <x v="17"/>
    <x v="14"/>
    <x v="1"/>
    <x v="0"/>
    <x v="118"/>
    <x v="7"/>
    <x v="2"/>
    <x v="84"/>
    <n v="343.6"/>
    <x v="7"/>
  </r>
  <r>
    <x v="7"/>
    <x v="20"/>
    <x v="3"/>
    <x v="3"/>
    <x v="119"/>
    <x v="0"/>
    <x v="4"/>
    <x v="84"/>
    <n v="318.3"/>
    <x v="7"/>
  </r>
  <r>
    <x v="6"/>
    <x v="12"/>
    <x v="3"/>
    <x v="3"/>
    <x v="120"/>
    <x v="1"/>
    <x v="4"/>
    <x v="85"/>
    <n v="358.41"/>
    <x v="7"/>
  </r>
  <r>
    <x v="16"/>
    <x v="15"/>
    <x v="2"/>
    <x v="1"/>
    <x v="121"/>
    <x v="16"/>
    <x v="1"/>
    <x v="86"/>
    <n v="581.5"/>
    <x v="7"/>
  </r>
  <r>
    <x v="17"/>
    <x v="12"/>
    <x v="1"/>
    <x v="4"/>
    <x v="122"/>
    <x v="11"/>
    <x v="3"/>
    <x v="87"/>
    <n v="410.9"/>
    <x v="7"/>
  </r>
  <r>
    <x v="0"/>
    <x v="2"/>
    <x v="2"/>
    <x v="2"/>
    <x v="123"/>
    <x v="8"/>
    <x v="1"/>
    <x v="88"/>
    <n v="179.51"/>
    <x v="7"/>
  </r>
  <r>
    <x v="26"/>
    <x v="2"/>
    <x v="4"/>
    <x v="1"/>
    <x v="124"/>
    <x v="14"/>
    <x v="0"/>
    <x v="88"/>
    <n v="511.14"/>
    <x v="7"/>
  </r>
  <r>
    <x v="25"/>
    <x v="3"/>
    <x v="3"/>
    <x v="2"/>
    <x v="125"/>
    <x v="17"/>
    <x v="2"/>
    <x v="88"/>
    <n v="150.18"/>
    <x v="7"/>
  </r>
  <r>
    <x v="22"/>
    <x v="15"/>
    <x v="1"/>
    <x v="2"/>
    <x v="126"/>
    <x v="10"/>
    <x v="1"/>
    <x v="89"/>
    <n v="352.65"/>
    <x v="7"/>
  </r>
  <r>
    <x v="8"/>
    <x v="21"/>
    <x v="2"/>
    <x v="3"/>
    <x v="127"/>
    <x v="11"/>
    <x v="1"/>
    <x v="89"/>
    <n v="472.62"/>
    <x v="7"/>
  </r>
  <r>
    <x v="12"/>
    <x v="12"/>
    <x v="1"/>
    <x v="2"/>
    <x v="128"/>
    <x v="0"/>
    <x v="2"/>
    <x v="89"/>
    <n v="195.33"/>
    <x v="7"/>
  </r>
  <r>
    <x v="28"/>
    <x v="3"/>
    <x v="0"/>
    <x v="2"/>
    <x v="129"/>
    <x v="15"/>
    <x v="1"/>
    <x v="90"/>
    <n v="64.63"/>
    <x v="7"/>
  </r>
  <r>
    <x v="21"/>
    <x v="21"/>
    <x v="1"/>
    <x v="0"/>
    <x v="130"/>
    <x v="16"/>
    <x v="4"/>
    <x v="90"/>
    <n v="461.12"/>
    <x v="7"/>
  </r>
  <r>
    <x v="18"/>
    <x v="9"/>
    <x v="4"/>
    <x v="0"/>
    <x v="131"/>
    <x v="4"/>
    <x v="4"/>
    <x v="91"/>
    <n v="437.11"/>
    <x v="7"/>
  </r>
  <r>
    <x v="10"/>
    <x v="26"/>
    <x v="2"/>
    <x v="3"/>
    <x v="132"/>
    <x v="4"/>
    <x v="3"/>
    <x v="91"/>
    <n v="268.97000000000003"/>
    <x v="7"/>
  </r>
  <r>
    <x v="29"/>
    <x v="12"/>
    <x v="2"/>
    <x v="2"/>
    <x v="133"/>
    <x v="17"/>
    <x v="1"/>
    <x v="92"/>
    <n v="265.26"/>
    <x v="7"/>
  </r>
  <r>
    <x v="6"/>
    <x v="11"/>
    <x v="0"/>
    <x v="2"/>
    <x v="134"/>
    <x v="15"/>
    <x v="0"/>
    <x v="93"/>
    <n v="178.91"/>
    <x v="7"/>
  </r>
  <r>
    <x v="5"/>
    <x v="9"/>
    <x v="3"/>
    <x v="4"/>
    <x v="135"/>
    <x v="1"/>
    <x v="4"/>
    <x v="94"/>
    <n v="356.5"/>
    <x v="7"/>
  </r>
  <r>
    <x v="19"/>
    <x v="26"/>
    <x v="0"/>
    <x v="3"/>
    <x v="136"/>
    <x v="0"/>
    <x v="0"/>
    <x v="95"/>
    <n v="229.65"/>
    <x v="8"/>
  </r>
  <r>
    <x v="19"/>
    <x v="9"/>
    <x v="4"/>
    <x v="2"/>
    <x v="137"/>
    <x v="4"/>
    <x v="4"/>
    <x v="96"/>
    <n v="121.54"/>
    <x v="8"/>
  </r>
  <r>
    <x v="22"/>
    <x v="21"/>
    <x v="2"/>
    <x v="3"/>
    <x v="138"/>
    <x v="15"/>
    <x v="4"/>
    <x v="97"/>
    <n v="268"/>
    <x v="8"/>
  </r>
  <r>
    <x v="6"/>
    <x v="4"/>
    <x v="4"/>
    <x v="3"/>
    <x v="139"/>
    <x v="18"/>
    <x v="2"/>
    <x v="98"/>
    <n v="426.16"/>
    <x v="8"/>
  </r>
  <r>
    <x v="28"/>
    <x v="5"/>
    <x v="4"/>
    <x v="2"/>
    <x v="140"/>
    <x v="11"/>
    <x v="2"/>
    <x v="98"/>
    <n v="316.32"/>
    <x v="8"/>
  </r>
  <r>
    <x v="7"/>
    <x v="24"/>
    <x v="1"/>
    <x v="0"/>
    <x v="141"/>
    <x v="13"/>
    <x v="1"/>
    <x v="99"/>
    <n v="492.5"/>
    <x v="8"/>
  </r>
  <r>
    <x v="7"/>
    <x v="11"/>
    <x v="0"/>
    <x v="2"/>
    <x v="142"/>
    <x v="15"/>
    <x v="0"/>
    <x v="100"/>
    <n v="232.33"/>
    <x v="8"/>
  </r>
  <r>
    <x v="15"/>
    <x v="12"/>
    <x v="4"/>
    <x v="4"/>
    <x v="143"/>
    <x v="18"/>
    <x v="4"/>
    <x v="101"/>
    <n v="165.97"/>
    <x v="8"/>
  </r>
  <r>
    <x v="26"/>
    <x v="6"/>
    <x v="3"/>
    <x v="1"/>
    <x v="144"/>
    <x v="5"/>
    <x v="2"/>
    <x v="102"/>
    <n v="675.5"/>
    <x v="8"/>
  </r>
  <r>
    <x v="6"/>
    <x v="26"/>
    <x v="3"/>
    <x v="1"/>
    <x v="145"/>
    <x v="12"/>
    <x v="0"/>
    <x v="102"/>
    <n v="134.66"/>
    <x v="8"/>
  </r>
  <r>
    <x v="15"/>
    <x v="3"/>
    <x v="0"/>
    <x v="0"/>
    <x v="146"/>
    <x v="8"/>
    <x v="3"/>
    <x v="103"/>
    <n v="487.36"/>
    <x v="8"/>
  </r>
  <r>
    <x v="21"/>
    <x v="25"/>
    <x v="4"/>
    <x v="1"/>
    <x v="147"/>
    <x v="6"/>
    <x v="4"/>
    <x v="104"/>
    <n v="314.74"/>
    <x v="9"/>
  </r>
  <r>
    <x v="16"/>
    <x v="14"/>
    <x v="3"/>
    <x v="4"/>
    <x v="148"/>
    <x v="17"/>
    <x v="0"/>
    <x v="104"/>
    <n v="111.39"/>
    <x v="9"/>
  </r>
  <r>
    <x v="21"/>
    <x v="5"/>
    <x v="3"/>
    <x v="0"/>
    <x v="149"/>
    <x v="14"/>
    <x v="3"/>
    <x v="105"/>
    <n v="318.47000000000003"/>
    <x v="9"/>
  </r>
  <r>
    <x v="16"/>
    <x v="3"/>
    <x v="4"/>
    <x v="4"/>
    <x v="150"/>
    <x v="11"/>
    <x v="3"/>
    <x v="106"/>
    <n v="301.75"/>
    <x v="9"/>
  </r>
  <r>
    <x v="20"/>
    <x v="2"/>
    <x v="2"/>
    <x v="1"/>
    <x v="151"/>
    <x v="16"/>
    <x v="4"/>
    <x v="106"/>
    <n v="413.36"/>
    <x v="9"/>
  </r>
  <r>
    <x v="9"/>
    <x v="5"/>
    <x v="0"/>
    <x v="3"/>
    <x v="152"/>
    <x v="14"/>
    <x v="4"/>
    <x v="107"/>
    <n v="286.68"/>
    <x v="9"/>
  </r>
  <r>
    <x v="27"/>
    <x v="20"/>
    <x v="3"/>
    <x v="1"/>
    <x v="153"/>
    <x v="15"/>
    <x v="4"/>
    <x v="108"/>
    <n v="556.30999999999995"/>
    <x v="9"/>
  </r>
  <r>
    <x v="19"/>
    <x v="1"/>
    <x v="2"/>
    <x v="3"/>
    <x v="154"/>
    <x v="6"/>
    <x v="3"/>
    <x v="109"/>
    <n v="332.19"/>
    <x v="9"/>
  </r>
  <r>
    <x v="19"/>
    <x v="3"/>
    <x v="3"/>
    <x v="2"/>
    <x v="155"/>
    <x v="16"/>
    <x v="0"/>
    <x v="110"/>
    <n v="336.24"/>
    <x v="9"/>
  </r>
  <r>
    <x v="19"/>
    <x v="8"/>
    <x v="0"/>
    <x v="1"/>
    <x v="156"/>
    <x v="13"/>
    <x v="4"/>
    <x v="111"/>
    <n v="180.39"/>
    <x v="9"/>
  </r>
  <r>
    <x v="13"/>
    <x v="12"/>
    <x v="4"/>
    <x v="1"/>
    <x v="157"/>
    <x v="7"/>
    <x v="3"/>
    <x v="112"/>
    <n v="484.35"/>
    <x v="9"/>
  </r>
  <r>
    <x v="13"/>
    <x v="6"/>
    <x v="4"/>
    <x v="4"/>
    <x v="158"/>
    <x v="9"/>
    <x v="1"/>
    <x v="112"/>
    <n v="562.82000000000005"/>
    <x v="9"/>
  </r>
  <r>
    <x v="11"/>
    <x v="2"/>
    <x v="2"/>
    <x v="1"/>
    <x v="159"/>
    <x v="5"/>
    <x v="0"/>
    <x v="112"/>
    <n v="447.34"/>
    <x v="9"/>
  </r>
  <r>
    <x v="25"/>
    <x v="17"/>
    <x v="3"/>
    <x v="1"/>
    <x v="160"/>
    <x v="3"/>
    <x v="0"/>
    <x v="113"/>
    <n v="649.04999999999995"/>
    <x v="9"/>
  </r>
  <r>
    <x v="29"/>
    <x v="14"/>
    <x v="3"/>
    <x v="0"/>
    <x v="161"/>
    <x v="6"/>
    <x v="0"/>
    <x v="114"/>
    <n v="205"/>
    <x v="9"/>
  </r>
  <r>
    <x v="4"/>
    <x v="11"/>
    <x v="0"/>
    <x v="1"/>
    <x v="162"/>
    <x v="2"/>
    <x v="3"/>
    <x v="115"/>
    <n v="263.32"/>
    <x v="9"/>
  </r>
  <r>
    <x v="4"/>
    <x v="6"/>
    <x v="1"/>
    <x v="1"/>
    <x v="163"/>
    <x v="16"/>
    <x v="0"/>
    <x v="116"/>
    <n v="443.99"/>
    <x v="10"/>
  </r>
  <r>
    <x v="19"/>
    <x v="12"/>
    <x v="1"/>
    <x v="0"/>
    <x v="164"/>
    <x v="13"/>
    <x v="3"/>
    <x v="117"/>
    <n v="395.31"/>
    <x v="10"/>
  </r>
  <r>
    <x v="22"/>
    <x v="14"/>
    <x v="0"/>
    <x v="4"/>
    <x v="165"/>
    <x v="9"/>
    <x v="3"/>
    <x v="118"/>
    <n v="335.04"/>
    <x v="10"/>
  </r>
  <r>
    <x v="25"/>
    <x v="5"/>
    <x v="4"/>
    <x v="1"/>
    <x v="166"/>
    <x v="18"/>
    <x v="3"/>
    <x v="119"/>
    <n v="333.85"/>
    <x v="10"/>
  </r>
  <r>
    <x v="26"/>
    <x v="0"/>
    <x v="1"/>
    <x v="4"/>
    <x v="167"/>
    <x v="5"/>
    <x v="3"/>
    <x v="120"/>
    <n v="531.05999999999995"/>
    <x v="10"/>
  </r>
  <r>
    <x v="26"/>
    <x v="6"/>
    <x v="2"/>
    <x v="4"/>
    <x v="168"/>
    <x v="15"/>
    <x v="3"/>
    <x v="121"/>
    <n v="232.19"/>
    <x v="10"/>
  </r>
  <r>
    <x v="16"/>
    <x v="3"/>
    <x v="0"/>
    <x v="2"/>
    <x v="169"/>
    <x v="8"/>
    <x v="0"/>
    <x v="122"/>
    <n v="223.04"/>
    <x v="10"/>
  </r>
  <r>
    <x v="1"/>
    <x v="12"/>
    <x v="3"/>
    <x v="1"/>
    <x v="170"/>
    <x v="0"/>
    <x v="1"/>
    <x v="123"/>
    <n v="422.92"/>
    <x v="10"/>
  </r>
  <r>
    <x v="7"/>
    <x v="18"/>
    <x v="0"/>
    <x v="2"/>
    <x v="171"/>
    <x v="1"/>
    <x v="1"/>
    <x v="124"/>
    <n v="257.45"/>
    <x v="10"/>
  </r>
  <r>
    <x v="8"/>
    <x v="6"/>
    <x v="3"/>
    <x v="0"/>
    <x v="172"/>
    <x v="7"/>
    <x v="0"/>
    <x v="125"/>
    <n v="380.75"/>
    <x v="10"/>
  </r>
  <r>
    <x v="23"/>
    <x v="11"/>
    <x v="2"/>
    <x v="0"/>
    <x v="173"/>
    <x v="10"/>
    <x v="0"/>
    <x v="126"/>
    <n v="225.37"/>
    <x v="10"/>
  </r>
  <r>
    <x v="22"/>
    <x v="13"/>
    <x v="4"/>
    <x v="4"/>
    <x v="174"/>
    <x v="3"/>
    <x v="0"/>
    <x v="126"/>
    <n v="582.55999999999995"/>
    <x v="10"/>
  </r>
  <r>
    <x v="27"/>
    <x v="17"/>
    <x v="4"/>
    <x v="0"/>
    <x v="175"/>
    <x v="7"/>
    <x v="2"/>
    <x v="127"/>
    <n v="344.91"/>
    <x v="10"/>
  </r>
  <r>
    <x v="29"/>
    <x v="6"/>
    <x v="4"/>
    <x v="1"/>
    <x v="176"/>
    <x v="14"/>
    <x v="0"/>
    <x v="128"/>
    <n v="330.79"/>
    <x v="10"/>
  </r>
  <r>
    <x v="2"/>
    <x v="6"/>
    <x v="4"/>
    <x v="1"/>
    <x v="177"/>
    <x v="4"/>
    <x v="3"/>
    <x v="129"/>
    <n v="460"/>
    <x v="11"/>
  </r>
  <r>
    <x v="26"/>
    <x v="5"/>
    <x v="1"/>
    <x v="0"/>
    <x v="178"/>
    <x v="5"/>
    <x v="1"/>
    <x v="130"/>
    <n v="439.88"/>
    <x v="11"/>
  </r>
  <r>
    <x v="16"/>
    <x v="23"/>
    <x v="3"/>
    <x v="0"/>
    <x v="179"/>
    <x v="4"/>
    <x v="3"/>
    <x v="131"/>
    <n v="255.79"/>
    <x v="11"/>
  </r>
  <r>
    <x v="16"/>
    <x v="20"/>
    <x v="3"/>
    <x v="0"/>
    <x v="180"/>
    <x v="10"/>
    <x v="0"/>
    <x v="132"/>
    <n v="159.74"/>
    <x v="11"/>
  </r>
  <r>
    <x v="10"/>
    <x v="9"/>
    <x v="2"/>
    <x v="0"/>
    <x v="181"/>
    <x v="14"/>
    <x v="4"/>
    <x v="133"/>
    <n v="404.39"/>
    <x v="11"/>
  </r>
  <r>
    <x v="23"/>
    <x v="9"/>
    <x v="1"/>
    <x v="4"/>
    <x v="182"/>
    <x v="14"/>
    <x v="4"/>
    <x v="134"/>
    <n v="187.57"/>
    <x v="11"/>
  </r>
  <r>
    <x v="12"/>
    <x v="18"/>
    <x v="0"/>
    <x v="1"/>
    <x v="183"/>
    <x v="7"/>
    <x v="4"/>
    <x v="135"/>
    <n v="410.87"/>
    <x v="11"/>
  </r>
  <r>
    <x v="18"/>
    <x v="18"/>
    <x v="0"/>
    <x v="3"/>
    <x v="184"/>
    <x v="8"/>
    <x v="0"/>
    <x v="136"/>
    <n v="275.77999999999997"/>
    <x v="11"/>
  </r>
  <r>
    <x v="5"/>
    <x v="18"/>
    <x v="0"/>
    <x v="1"/>
    <x v="185"/>
    <x v="14"/>
    <x v="1"/>
    <x v="137"/>
    <n v="746.74"/>
    <x v="11"/>
  </r>
  <r>
    <x v="8"/>
    <x v="17"/>
    <x v="2"/>
    <x v="1"/>
    <x v="186"/>
    <x v="13"/>
    <x v="3"/>
    <x v="138"/>
    <n v="310.24"/>
    <x v="11"/>
  </r>
  <r>
    <x v="11"/>
    <x v="20"/>
    <x v="2"/>
    <x v="1"/>
    <x v="187"/>
    <x v="17"/>
    <x v="1"/>
    <x v="139"/>
    <n v="341.12"/>
    <x v="11"/>
  </r>
  <r>
    <x v="12"/>
    <x v="4"/>
    <x v="3"/>
    <x v="2"/>
    <x v="188"/>
    <x v="10"/>
    <x v="0"/>
    <x v="140"/>
    <n v="91.71"/>
    <x v="11"/>
  </r>
  <r>
    <x v="8"/>
    <x v="4"/>
    <x v="2"/>
    <x v="3"/>
    <x v="189"/>
    <x v="6"/>
    <x v="0"/>
    <x v="141"/>
    <n v="331.59"/>
    <x v="11"/>
  </r>
  <r>
    <x v="5"/>
    <x v="0"/>
    <x v="2"/>
    <x v="1"/>
    <x v="190"/>
    <x v="13"/>
    <x v="1"/>
    <x v="142"/>
    <n v="381.07"/>
    <x v="11"/>
  </r>
  <r>
    <x v="4"/>
    <x v="17"/>
    <x v="3"/>
    <x v="0"/>
    <x v="191"/>
    <x v="11"/>
    <x v="2"/>
    <x v="142"/>
    <n v="255.24"/>
    <x v="11"/>
  </r>
  <r>
    <x v="29"/>
    <x v="26"/>
    <x v="4"/>
    <x v="1"/>
    <x v="192"/>
    <x v="8"/>
    <x v="4"/>
    <x v="143"/>
    <n v="692.05"/>
    <x v="11"/>
  </r>
  <r>
    <x v="13"/>
    <x v="21"/>
    <x v="1"/>
    <x v="3"/>
    <x v="193"/>
    <x v="2"/>
    <x v="3"/>
    <x v="143"/>
    <n v="344.41"/>
    <x v="11"/>
  </r>
  <r>
    <x v="10"/>
    <x v="11"/>
    <x v="0"/>
    <x v="1"/>
    <x v="194"/>
    <x v="4"/>
    <x v="2"/>
    <x v="144"/>
    <n v="397.06"/>
    <x v="11"/>
  </r>
  <r>
    <x v="25"/>
    <x v="8"/>
    <x v="4"/>
    <x v="1"/>
    <x v="195"/>
    <x v="4"/>
    <x v="0"/>
    <x v="144"/>
    <n v="586.14"/>
    <x v="11"/>
  </r>
  <r>
    <x v="16"/>
    <x v="1"/>
    <x v="2"/>
    <x v="4"/>
    <x v="196"/>
    <x v="1"/>
    <x v="1"/>
    <x v="145"/>
    <n v="333.36"/>
    <x v="0"/>
  </r>
  <r>
    <x v="19"/>
    <x v="11"/>
    <x v="0"/>
    <x v="4"/>
    <x v="197"/>
    <x v="2"/>
    <x v="1"/>
    <x v="146"/>
    <n v="245.45"/>
    <x v="0"/>
  </r>
  <r>
    <x v="9"/>
    <x v="8"/>
    <x v="1"/>
    <x v="0"/>
    <x v="198"/>
    <x v="4"/>
    <x v="4"/>
    <x v="146"/>
    <n v="379.09"/>
    <x v="0"/>
  </r>
  <r>
    <x v="20"/>
    <x v="8"/>
    <x v="2"/>
    <x v="1"/>
    <x v="199"/>
    <x v="7"/>
    <x v="4"/>
    <x v="147"/>
    <n v="440.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81118-5022-4052-8D32-CC2A44F6ADF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B34" firstHeaderRow="1" firstDataRow="1" firstDataCol="1"/>
  <pivotFields count="13">
    <pivotField axis="axisRow" compact="0" outline="0"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compact="0" outline="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compact="0" outline="0" showAll="0"/>
    <pivotField compact="0" outline="0" showAll="0"/>
    <pivotField compact="0" outline="0" showAll="0"/>
    <pivotField dataField="1" compact="0" outline="0" showAll="0"/>
    <pivotField compact="0" outline="0" showAll="0"/>
    <pivotField compact="0" numFmtId="1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70F9CE-101C-498A-9758-6E1E65597E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3">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items count="28">
        <item sd="0" x="26"/>
        <item sd="0" x="18"/>
        <item sd="0" x="19"/>
        <item sd="0" x="10"/>
        <item sd="0" x="8"/>
        <item sd="0" x="9"/>
        <item sd="0" x="24"/>
        <item sd="0" x="21"/>
        <item sd="0" x="0"/>
        <item sd="0" x="2"/>
        <item sd="0" x="3"/>
        <item sd="0" x="16"/>
        <item sd="0" x="15"/>
        <item sd="0" x="22"/>
        <item sd="0" x="7"/>
        <item sd="0" x="25"/>
        <item sd="0" x="17"/>
        <item sd="0" x="5"/>
        <item sd="0" x="14"/>
        <item sd="0" x="12"/>
        <item sd="0" x="6"/>
        <item sd="0" x="13"/>
        <item sd="0" x="20"/>
        <item sd="0" x="4"/>
        <item sd="0" x="1"/>
        <item sd="0" x="11"/>
        <item sd="0" x="23"/>
        <item t="default" sd="0"/>
      </items>
    </pivotField>
    <pivotField showAll="0"/>
    <pivotField showAll="0"/>
    <pivotField dataField="1" showAll="0"/>
    <pivotField showAll="0">
      <items count="20">
        <item x="17"/>
        <item x="7"/>
        <item x="1"/>
        <item x="0"/>
        <item x="16"/>
        <item x="5"/>
        <item x="9"/>
        <item x="4"/>
        <item x="13"/>
        <item x="11"/>
        <item x="6"/>
        <item x="3"/>
        <item x="12"/>
        <item x="8"/>
        <item x="10"/>
        <item x="18"/>
        <item x="2"/>
        <item x="14"/>
        <item x="15"/>
        <item t="default"/>
      </items>
    </pivotField>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axis="axisRow" showAll="0">
      <items count="13">
        <item x="9"/>
        <item x="10"/>
        <item x="11"/>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798BC-C417-46F1-B54B-0D85842CC0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showAll="0"/>
    <pivotField showAll="0"/>
    <pivotField axis="axisRow"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5">
      <pivotArea type="data" outline="0" fieldPosition="0">
        <references count="2">
          <reference field="4294967294" count="1" selected="0">
            <x v="0"/>
          </reference>
          <reference field="3" count="1" selected="0">
            <x v="1"/>
          </reference>
        </references>
      </pivotArea>
    </chartFormat>
    <chartFormat chart="4" format="16">
      <pivotArea type="data" outline="0" fieldPosition="0">
        <references count="2">
          <reference field="4294967294" count="1" selected="0">
            <x v="0"/>
          </reference>
          <reference field="3" count="1" selected="0">
            <x v="2"/>
          </reference>
        </references>
      </pivotArea>
    </chartFormat>
    <chartFormat chart="4" format="17">
      <pivotArea type="data" outline="0" fieldPosition="0">
        <references count="2">
          <reference field="4294967294" count="1" selected="0">
            <x v="0"/>
          </reference>
          <reference field="3" count="1" selected="0">
            <x v="3"/>
          </reference>
        </references>
      </pivotArea>
    </chartFormat>
    <chartFormat chart="4" format="1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68799-8156-4E48-BADB-71E5622C50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3">
    <pivotField showAll="0"/>
    <pivotField showAll="0"/>
    <pivotField showAll="0"/>
    <pivotField showAll="0"/>
    <pivotField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axis="axisRow" showAll="0">
      <items count="13">
        <item x="9"/>
        <item x="10"/>
        <item x="11"/>
        <item x="0"/>
        <item x="1"/>
        <item x="2"/>
        <item x="3"/>
        <item x="4"/>
        <item x="5"/>
        <item x="6"/>
        <item x="7"/>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25F705-AABF-44A7-9FED-A88D4916C8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axis="axisRow" showAll="0">
      <items count="6">
        <item x="4"/>
        <item x="1"/>
        <item x="3"/>
        <item x="2"/>
        <item x="0"/>
        <item t="default"/>
      </items>
    </pivotField>
    <pivotField showAll="0"/>
    <pivotField dataField="1"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F29979-2107-4C70-A923-E507D3CDD7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axis="axisRow" showAll="0">
      <items count="6">
        <item x="0"/>
        <item x="1"/>
        <item x="2"/>
        <item x="3"/>
        <item x="4"/>
        <item t="default"/>
      </items>
    </pivotField>
    <pivotField showAll="0"/>
    <pivotField showAll="0"/>
    <pivotField dataField="1"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Disc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00FD01-182E-4782-BA1E-51AB1E46F4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3">
    <pivotField showAll="0"/>
    <pivotField showAll="0"/>
    <pivotField showAll="0"/>
    <pivotField showAll="0">
      <items count="6">
        <item x="0"/>
        <item x="1"/>
        <item x="2"/>
        <item x="3"/>
        <item x="4"/>
        <item t="default"/>
      </items>
    </pivotField>
    <pivotField dataField="1" showAll="0">
      <items count="201">
        <item x="129"/>
        <item x="148"/>
        <item x="145"/>
        <item x="156"/>
        <item x="143"/>
        <item x="21"/>
        <item x="182"/>
        <item x="188"/>
        <item x="35"/>
        <item x="61"/>
        <item x="180"/>
        <item x="8"/>
        <item x="137"/>
        <item x="77"/>
        <item x="14"/>
        <item x="72"/>
        <item x="197"/>
        <item x="42"/>
        <item x="168"/>
        <item x="39"/>
        <item x="162"/>
        <item x="100"/>
        <item x="70"/>
        <item x="17"/>
        <item x="161"/>
        <item x="19"/>
        <item x="114"/>
        <item x="147"/>
        <item x="26"/>
        <item x="80"/>
        <item x="187"/>
        <item x="115"/>
        <item x="186"/>
        <item x="111"/>
        <item x="173"/>
        <item x="23"/>
        <item x="125"/>
        <item x="179"/>
        <item x="2"/>
        <item x="123"/>
        <item x="91"/>
        <item x="108"/>
        <item x="9"/>
        <item x="196"/>
        <item x="57"/>
        <item x="166"/>
        <item x="22"/>
        <item x="150"/>
        <item x="191"/>
        <item x="3"/>
        <item x="190"/>
        <item x="113"/>
        <item x="38"/>
        <item x="49"/>
        <item x="82"/>
        <item x="29"/>
        <item x="73"/>
        <item x="69"/>
        <item x="138"/>
        <item x="54"/>
        <item x="136"/>
        <item x="13"/>
        <item x="98"/>
        <item x="176"/>
        <item x="165"/>
        <item x="135"/>
        <item x="43"/>
        <item x="36"/>
        <item x="170"/>
        <item x="4"/>
        <item x="32"/>
        <item x="132"/>
        <item x="45"/>
        <item x="152"/>
        <item x="183"/>
        <item x="151"/>
        <item x="86"/>
        <item x="92"/>
        <item x="66"/>
        <item x="16"/>
        <item x="149"/>
        <item x="134"/>
        <item x="99"/>
        <item x="95"/>
        <item x="55"/>
        <item x="128"/>
        <item x="103"/>
        <item x="24"/>
        <item x="199"/>
        <item x="62"/>
        <item x="194"/>
        <item x="27"/>
        <item x="53"/>
        <item x="20"/>
        <item x="119"/>
        <item x="105"/>
        <item x="5"/>
        <item x="94"/>
        <item x="33"/>
        <item x="56"/>
        <item x="110"/>
        <item x="71"/>
        <item x="28"/>
        <item x="184"/>
        <item x="101"/>
        <item x="198"/>
        <item x="47"/>
        <item x="63"/>
        <item x="118"/>
        <item x="102"/>
        <item x="117"/>
        <item x="175"/>
        <item x="122"/>
        <item x="68"/>
        <item x="50"/>
        <item x="177"/>
        <item x="31"/>
        <item x="41"/>
        <item x="171"/>
        <item x="65"/>
        <item x="0"/>
        <item x="154"/>
        <item x="133"/>
        <item x="181"/>
        <item x="83"/>
        <item x="7"/>
        <item x="157"/>
        <item x="120"/>
        <item x="106"/>
        <item x="52"/>
        <item x="193"/>
        <item x="164"/>
        <item x="178"/>
        <item x="64"/>
        <item x="1"/>
        <item x="90"/>
        <item x="163"/>
        <item x="78"/>
        <item x="169"/>
        <item x="159"/>
        <item x="81"/>
        <item x="131"/>
        <item x="40"/>
        <item x="88"/>
        <item x="93"/>
        <item x="142"/>
        <item x="121"/>
        <item x="84"/>
        <item x="153"/>
        <item x="96"/>
        <item x="25"/>
        <item x="189"/>
        <item x="48"/>
        <item x="172"/>
        <item x="12"/>
        <item x="112"/>
        <item x="34"/>
        <item x="97"/>
        <item x="130"/>
        <item x="75"/>
        <item x="46"/>
        <item x="51"/>
        <item x="44"/>
        <item x="141"/>
        <item x="58"/>
        <item x="116"/>
        <item x="158"/>
        <item x="76"/>
        <item x="89"/>
        <item x="124"/>
        <item x="104"/>
        <item x="79"/>
        <item x="109"/>
        <item x="167"/>
        <item x="6"/>
        <item x="85"/>
        <item x="11"/>
        <item x="127"/>
        <item x="146"/>
        <item x="59"/>
        <item x="67"/>
        <item x="60"/>
        <item x="37"/>
        <item x="126"/>
        <item x="139"/>
        <item x="87"/>
        <item x="30"/>
        <item x="192"/>
        <item x="195"/>
        <item x="140"/>
        <item x="185"/>
        <item x="15"/>
        <item x="18"/>
        <item x="74"/>
        <item x="10"/>
        <item x="144"/>
        <item x="174"/>
        <item x="160"/>
        <item x="155"/>
        <item x="107"/>
        <item t="default"/>
      </items>
    </pivotField>
    <pivotField showAll="0"/>
    <pivotField showAll="0">
      <items count="6">
        <item x="1"/>
        <item x="4"/>
        <item x="3"/>
        <item x="2"/>
        <item x="0"/>
        <item t="default"/>
      </items>
    </pivotField>
    <pivotField axis="axisRow"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5">
        <item sd="0" x="0"/>
        <item sd="0" x="1"/>
        <item sd="0" x="2"/>
        <item sd="0" x="3"/>
        <item t="default" sd="0"/>
      </items>
    </pivotField>
  </pivotFields>
  <rowFields count="4">
    <field x="12"/>
    <field x="11"/>
    <field x="10"/>
    <field x="7"/>
  </rowFields>
  <rowItems count="3">
    <i>
      <x v="1"/>
    </i>
    <i>
      <x v="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517638-1223-4743-8C03-7194752E162C}" name="Table1" displayName="Table1" ref="A1:K201" totalsRowShown="0" headerRowDxfId="15" dataDxfId="13" headerRowBorderDxfId="14" tableBorderDxfId="12" totalsRowBorderDxfId="11">
  <autoFilter ref="A1:K201" xr:uid="{4F517638-1223-4743-8C03-7194752E162C}"/>
  <tableColumns count="11">
    <tableColumn id="1" xr3:uid="{46CB0CED-4E56-4E32-B61D-358219A8FB80}" name="Customer_ID" dataDxfId="10"/>
    <tableColumn id="2" xr3:uid="{7A1C87A1-B034-4602-8F74-A1CE62C5024E}" name="Customer_Name" dataDxfId="9"/>
    <tableColumn id="3" xr3:uid="{8CF8DD0C-B543-456B-9D4D-EFA17513425D}" name="Region" dataDxfId="8"/>
    <tableColumn id="4" xr3:uid="{2E83D64D-4D37-4207-BF81-67EFB2EFE14C}" name="Product_Category" dataDxfId="7"/>
    <tableColumn id="5" xr3:uid="{3A4ADEF2-A399-40E9-AA6B-4D343BB2DB3D}" name="Sales" dataDxfId="6"/>
    <tableColumn id="6" xr3:uid="{1E7A41B0-2510-409E-9ACF-7F8AD2A5CD29}" name="Quantity" dataDxfId="5"/>
    <tableColumn id="7" xr3:uid="{856F263B-783C-45A2-9BB3-49291940E07B}" name="Discount" dataDxfId="4"/>
    <tableColumn id="8" xr3:uid="{9DAE6495-CCCB-4229-B8EA-DF9FBDAD9FB1}" name="Order_Date" dataDxfId="3"/>
    <tableColumn id="9" xr3:uid="{CE6D3724-7B75-4438-8303-DA05F215A713}" name="Profit" dataDxfId="2"/>
    <tableColumn id="10" xr3:uid="{66AF2C6A-90B1-4433-82A3-0B6C2B17F3D2}" name="Month" dataDxfId="1">
      <calculatedColumnFormula>TEXT(Table1[[#This Row],[Order_Date]],"MMM")</calculatedColumnFormula>
    </tableColumn>
    <tableColumn id="11" xr3:uid="{23CF768D-6293-49AA-869E-668353F4683D}" name="Timestamp"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01D53-45D7-4B79-BF7D-205BF4BE4F50}">
  <dimension ref="A1:Z39"/>
  <sheetViews>
    <sheetView tabSelected="1" zoomScale="58" zoomScaleNormal="57" workbookViewId="0">
      <selection activeCell="P39" sqref="P39"/>
    </sheetView>
  </sheetViews>
  <sheetFormatPr defaultRowHeight="14.4" x14ac:dyDescent="0.3"/>
  <sheetData>
    <row r="1" spans="1:26" x14ac:dyDescent="0.3">
      <c r="A1" s="18"/>
      <c r="B1" s="18"/>
      <c r="C1" s="18"/>
      <c r="D1" s="18"/>
      <c r="E1" s="18"/>
      <c r="F1" s="18"/>
      <c r="G1" s="18"/>
      <c r="H1" s="19" t="s">
        <v>100</v>
      </c>
      <c r="I1" s="20"/>
      <c r="J1" s="20"/>
      <c r="K1" s="20"/>
      <c r="L1" s="20"/>
      <c r="M1" s="20"/>
      <c r="N1" s="20"/>
      <c r="O1" s="20"/>
      <c r="P1" s="20"/>
      <c r="Q1" s="18"/>
      <c r="R1" s="18"/>
      <c r="S1" s="18"/>
      <c r="T1" s="18"/>
      <c r="U1" s="18"/>
      <c r="V1" s="18"/>
      <c r="W1" s="18"/>
      <c r="X1" s="18"/>
      <c r="Y1" s="18"/>
      <c r="Z1" s="18"/>
    </row>
    <row r="2" spans="1:26" x14ac:dyDescent="0.3">
      <c r="A2" s="18"/>
      <c r="B2" s="18"/>
      <c r="C2" s="18"/>
      <c r="D2" s="18"/>
      <c r="E2" s="18"/>
      <c r="F2" s="18"/>
      <c r="G2" s="18"/>
      <c r="H2" s="20"/>
      <c r="I2" s="20"/>
      <c r="J2" s="20"/>
      <c r="K2" s="20"/>
      <c r="L2" s="20"/>
      <c r="M2" s="20"/>
      <c r="N2" s="20"/>
      <c r="O2" s="20"/>
      <c r="P2" s="20"/>
      <c r="Q2" s="18"/>
      <c r="R2" s="18"/>
      <c r="S2" s="18"/>
      <c r="T2" s="18"/>
      <c r="U2" s="18"/>
      <c r="V2" s="18"/>
      <c r="W2" s="18"/>
      <c r="X2" s="18"/>
      <c r="Y2" s="18"/>
      <c r="Z2" s="18"/>
    </row>
    <row r="3" spans="1:26" x14ac:dyDescent="0.3">
      <c r="A3" s="18"/>
      <c r="B3" s="18"/>
      <c r="C3" s="18"/>
      <c r="D3" s="18"/>
      <c r="E3" s="18"/>
      <c r="F3" s="18"/>
      <c r="G3" s="18"/>
      <c r="H3" s="20"/>
      <c r="I3" s="20"/>
      <c r="J3" s="20"/>
      <c r="K3" s="20"/>
      <c r="L3" s="20"/>
      <c r="M3" s="20"/>
      <c r="N3" s="20"/>
      <c r="O3" s="20"/>
      <c r="P3" s="20"/>
      <c r="Q3" s="18"/>
      <c r="R3" s="18"/>
      <c r="S3" s="18"/>
      <c r="T3" s="18"/>
      <c r="U3" s="18"/>
      <c r="V3" s="18"/>
      <c r="W3" s="18"/>
      <c r="X3" s="18"/>
      <c r="Y3" s="18"/>
      <c r="Z3" s="18"/>
    </row>
    <row r="4" spans="1:26" x14ac:dyDescent="0.3">
      <c r="A4" s="18"/>
      <c r="B4" s="18"/>
      <c r="C4" s="18"/>
      <c r="D4" s="18"/>
      <c r="E4" s="18"/>
      <c r="F4" s="18"/>
      <c r="G4" s="18"/>
      <c r="H4" s="20"/>
      <c r="I4" s="20"/>
      <c r="J4" s="20"/>
      <c r="K4" s="20"/>
      <c r="L4" s="20"/>
      <c r="M4" s="20"/>
      <c r="N4" s="20"/>
      <c r="O4" s="20"/>
      <c r="P4" s="20"/>
      <c r="Q4" s="18"/>
      <c r="R4" s="18"/>
      <c r="S4" s="18"/>
      <c r="T4" s="18"/>
      <c r="U4" s="18"/>
      <c r="V4" s="18"/>
      <c r="W4" s="18"/>
      <c r="X4" s="18"/>
      <c r="Y4" s="18"/>
      <c r="Z4" s="18"/>
    </row>
    <row r="5" spans="1:26" x14ac:dyDescent="0.3">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x14ac:dyDescent="0.3">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3">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3">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3">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sheetData>
  <mergeCells count="1">
    <mergeCell ref="H1:P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77A8-5F31-4A4B-8FE4-571596E5B3F7}">
  <dimension ref="A1:A2"/>
  <sheetViews>
    <sheetView topLeftCell="A2" workbookViewId="0">
      <selection activeCell="A2" sqref="A2"/>
    </sheetView>
  </sheetViews>
  <sheetFormatPr defaultRowHeight="14.4" x14ac:dyDescent="0.3"/>
  <cols>
    <col min="1" max="1" width="90.33203125" customWidth="1"/>
  </cols>
  <sheetData>
    <row r="1" spans="1:1" ht="29.4" thickBot="1" x14ac:dyDescent="0.35">
      <c r="A1" s="1" t="s">
        <v>0</v>
      </c>
    </row>
    <row r="2" spans="1:1" ht="409.6" thickBot="1" x14ac:dyDescent="0.35">
      <c r="A2" s="2"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6EC8-0EC9-4A46-88C7-D8C62ED526E5}">
  <dimension ref="A1:K201"/>
  <sheetViews>
    <sheetView topLeftCell="A174" workbookViewId="0">
      <selection activeCell="A2" sqref="A2:K201"/>
    </sheetView>
  </sheetViews>
  <sheetFormatPr defaultRowHeight="14.4" x14ac:dyDescent="0.3"/>
  <cols>
    <col min="1" max="1" width="16.109375" customWidth="1"/>
    <col min="2" max="2" width="18.6640625" customWidth="1"/>
    <col min="3" max="3" width="11.44140625" customWidth="1"/>
    <col min="4" max="4" width="18.109375" customWidth="1"/>
    <col min="5" max="5" width="11.44140625" customWidth="1"/>
    <col min="6" max="7" width="10.21875" customWidth="1"/>
    <col min="8" max="8" width="16.6640625" customWidth="1"/>
    <col min="11" max="11" width="12.109375" customWidth="1"/>
  </cols>
  <sheetData>
    <row r="1" spans="1:11" ht="15" thickBot="1" x14ac:dyDescent="0.35">
      <c r="A1" s="15" t="s">
        <v>2</v>
      </c>
      <c r="B1" s="16" t="s">
        <v>3</v>
      </c>
      <c r="C1" s="16" t="s">
        <v>4</v>
      </c>
      <c r="D1" s="16" t="s">
        <v>5</v>
      </c>
      <c r="E1" s="16" t="s">
        <v>6</v>
      </c>
      <c r="F1" s="16" t="s">
        <v>7</v>
      </c>
      <c r="G1" s="16" t="s">
        <v>8</v>
      </c>
      <c r="H1" s="16" t="s">
        <v>9</v>
      </c>
      <c r="I1" s="17" t="s">
        <v>10</v>
      </c>
      <c r="J1" s="16" t="s">
        <v>78</v>
      </c>
      <c r="K1" s="16" t="s">
        <v>99</v>
      </c>
    </row>
    <row r="2" spans="1:11" ht="15" thickBot="1" x14ac:dyDescent="0.35">
      <c r="A2" s="3" t="s">
        <v>11</v>
      </c>
      <c r="B2" s="4" t="s">
        <v>12</v>
      </c>
      <c r="C2" s="4" t="s">
        <v>13</v>
      </c>
      <c r="D2" s="4" t="s">
        <v>14</v>
      </c>
      <c r="E2" s="4">
        <v>1036.0899999999999</v>
      </c>
      <c r="F2" s="4">
        <v>4</v>
      </c>
      <c r="G2" s="4">
        <v>0.2</v>
      </c>
      <c r="H2" s="5">
        <v>45392</v>
      </c>
      <c r="I2" s="6">
        <v>331.55</v>
      </c>
      <c r="J2" s="11" t="str">
        <f>TEXT(Table1[[#This Row],[Order_Date]],"MMM")</f>
        <v>Apr</v>
      </c>
      <c r="K2" s="14"/>
    </row>
    <row r="3" spans="1:11" ht="15" thickBot="1" x14ac:dyDescent="0.35">
      <c r="A3" s="3" t="s">
        <v>15</v>
      </c>
      <c r="B3" s="4" t="s">
        <v>16</v>
      </c>
      <c r="C3" s="4" t="s">
        <v>13</v>
      </c>
      <c r="D3" s="4" t="s">
        <v>17</v>
      </c>
      <c r="E3" s="4">
        <v>1101.28</v>
      </c>
      <c r="F3" s="4">
        <v>3</v>
      </c>
      <c r="G3" s="4">
        <v>0.2</v>
      </c>
      <c r="H3" s="5">
        <v>45393</v>
      </c>
      <c r="I3" s="6">
        <v>440.51</v>
      </c>
      <c r="J3" s="4" t="str">
        <f>TEXT(Table1[[#This Row],[Order_Date]],"MMM")</f>
        <v>Apr</v>
      </c>
      <c r="K3" s="14"/>
    </row>
    <row r="4" spans="1:11" ht="15" thickBot="1" x14ac:dyDescent="0.35">
      <c r="A4" s="3" t="s">
        <v>18</v>
      </c>
      <c r="B4" s="4" t="s">
        <v>19</v>
      </c>
      <c r="C4" s="4" t="s">
        <v>20</v>
      </c>
      <c r="D4" s="4" t="s">
        <v>14</v>
      </c>
      <c r="E4" s="4">
        <v>713.34</v>
      </c>
      <c r="F4" s="4">
        <v>17</v>
      </c>
      <c r="G4" s="4">
        <v>0</v>
      </c>
      <c r="H4" s="5">
        <v>45396</v>
      </c>
      <c r="I4" s="6">
        <v>285.33999999999997</v>
      </c>
      <c r="J4" s="4" t="str">
        <f>TEXT(Table1[[#This Row],[Order_Date]],"MMM")</f>
        <v>Apr</v>
      </c>
      <c r="K4" s="14"/>
    </row>
    <row r="5" spans="1:11" ht="15" thickBot="1" x14ac:dyDescent="0.35">
      <c r="A5" s="3" t="s">
        <v>21</v>
      </c>
      <c r="B5" s="4" t="s">
        <v>16</v>
      </c>
      <c r="C5" s="4" t="s">
        <v>22</v>
      </c>
      <c r="D5" s="4" t="s">
        <v>23</v>
      </c>
      <c r="E5" s="4">
        <v>760.93</v>
      </c>
      <c r="F5" s="4">
        <v>4</v>
      </c>
      <c r="G5" s="4">
        <v>0.15</v>
      </c>
      <c r="H5" s="5">
        <v>45396</v>
      </c>
      <c r="I5" s="6">
        <v>161.69999999999999</v>
      </c>
      <c r="J5" s="4" t="str">
        <f>TEXT(Table1[[#This Row],[Order_Date]],"MMM")</f>
        <v>Apr</v>
      </c>
      <c r="K5" s="14"/>
    </row>
    <row r="6" spans="1:11" ht="15" thickBot="1" x14ac:dyDescent="0.35">
      <c r="A6" s="3" t="s">
        <v>24</v>
      </c>
      <c r="B6" s="4" t="s">
        <v>25</v>
      </c>
      <c r="C6" s="4" t="s">
        <v>26</v>
      </c>
      <c r="D6" s="4" t="s">
        <v>14</v>
      </c>
      <c r="E6" s="4">
        <v>847</v>
      </c>
      <c r="F6" s="4">
        <v>12</v>
      </c>
      <c r="G6" s="4">
        <v>0.2</v>
      </c>
      <c r="H6" s="5">
        <v>45397</v>
      </c>
      <c r="I6" s="6">
        <v>271.04000000000002</v>
      </c>
      <c r="J6" s="4" t="str">
        <f>TEXT(Table1[[#This Row],[Order_Date]],"MMM")</f>
        <v>Apr</v>
      </c>
      <c r="K6" s="14"/>
    </row>
    <row r="7" spans="1:11" ht="15" thickBot="1" x14ac:dyDescent="0.35">
      <c r="A7" s="3" t="s">
        <v>27</v>
      </c>
      <c r="B7" s="4" t="s">
        <v>28</v>
      </c>
      <c r="C7" s="4" t="s">
        <v>26</v>
      </c>
      <c r="D7" s="4" t="s">
        <v>29</v>
      </c>
      <c r="E7" s="4">
        <v>965.64</v>
      </c>
      <c r="F7" s="4">
        <v>8</v>
      </c>
      <c r="G7" s="4">
        <v>0.1</v>
      </c>
      <c r="H7" s="5">
        <v>45398</v>
      </c>
      <c r="I7" s="6">
        <v>304.18</v>
      </c>
      <c r="J7" s="4" t="str">
        <f>TEXT(Table1[[#This Row],[Order_Date]],"MMM")</f>
        <v>Apr</v>
      </c>
      <c r="K7" s="14"/>
    </row>
    <row r="8" spans="1:11" ht="15" thickBot="1" x14ac:dyDescent="0.35">
      <c r="A8" s="3" t="s">
        <v>30</v>
      </c>
      <c r="B8" s="4" t="s">
        <v>31</v>
      </c>
      <c r="C8" s="4" t="s">
        <v>13</v>
      </c>
      <c r="D8" s="4" t="s">
        <v>23</v>
      </c>
      <c r="E8" s="4">
        <v>1317.53</v>
      </c>
      <c r="F8" s="4">
        <v>12</v>
      </c>
      <c r="G8" s="4">
        <v>0.05</v>
      </c>
      <c r="H8" s="5">
        <v>45398</v>
      </c>
      <c r="I8" s="6">
        <v>312.91000000000003</v>
      </c>
      <c r="J8" s="4" t="str">
        <f>TEXT(Table1[[#This Row],[Order_Date]],"MMM")</f>
        <v>Apr</v>
      </c>
      <c r="K8" s="14"/>
    </row>
    <row r="9" spans="1:11" ht="15" thickBot="1" x14ac:dyDescent="0.35">
      <c r="A9" s="3" t="s">
        <v>32</v>
      </c>
      <c r="B9" s="4" t="s">
        <v>33</v>
      </c>
      <c r="C9" s="4" t="s">
        <v>20</v>
      </c>
      <c r="D9" s="4" t="s">
        <v>29</v>
      </c>
      <c r="E9" s="4">
        <v>1074.47</v>
      </c>
      <c r="F9" s="4">
        <v>6</v>
      </c>
      <c r="G9" s="4">
        <v>0.2</v>
      </c>
      <c r="H9" s="5">
        <v>45401</v>
      </c>
      <c r="I9" s="6">
        <v>300.85000000000002</v>
      </c>
      <c r="J9" s="4" t="str">
        <f>TEXT(Table1[[#This Row],[Order_Date]],"MMM")</f>
        <v>Apr</v>
      </c>
      <c r="K9" s="14"/>
    </row>
    <row r="10" spans="1:11" ht="15" thickBot="1" x14ac:dyDescent="0.35">
      <c r="A10" s="3" t="s">
        <v>34</v>
      </c>
      <c r="B10" s="4" t="s">
        <v>35</v>
      </c>
      <c r="C10" s="4" t="s">
        <v>36</v>
      </c>
      <c r="D10" s="4" t="s">
        <v>14</v>
      </c>
      <c r="E10" s="4">
        <v>501.54</v>
      </c>
      <c r="F10" s="4">
        <v>11</v>
      </c>
      <c r="G10" s="4">
        <v>0.05</v>
      </c>
      <c r="H10" s="5">
        <v>45401</v>
      </c>
      <c r="I10" s="6">
        <v>190.59</v>
      </c>
      <c r="J10" s="4" t="str">
        <f>TEXT(Table1[[#This Row],[Order_Date]],"MMM")</f>
        <v>Apr</v>
      </c>
      <c r="K10" s="14"/>
    </row>
    <row r="11" spans="1:11" ht="15" thickBot="1" x14ac:dyDescent="0.35">
      <c r="A11" s="3" t="s">
        <v>37</v>
      </c>
      <c r="B11" s="4" t="s">
        <v>38</v>
      </c>
      <c r="C11" s="4" t="s">
        <v>36</v>
      </c>
      <c r="D11" s="4" t="s">
        <v>17</v>
      </c>
      <c r="E11" s="4">
        <v>737.31</v>
      </c>
      <c r="F11" s="4">
        <v>2</v>
      </c>
      <c r="G11" s="4">
        <v>0.05</v>
      </c>
      <c r="H11" s="5">
        <v>45401</v>
      </c>
      <c r="I11" s="6">
        <v>350.22</v>
      </c>
      <c r="J11" s="4" t="str">
        <f>TEXT(Table1[[#This Row],[Order_Date]],"MMM")</f>
        <v>Apr</v>
      </c>
      <c r="K11" s="14"/>
    </row>
    <row r="12" spans="1:11" ht="15" thickBot="1" x14ac:dyDescent="0.35">
      <c r="A12" s="3" t="s">
        <v>39</v>
      </c>
      <c r="B12" s="4" t="s">
        <v>40</v>
      </c>
      <c r="C12" s="4" t="s">
        <v>13</v>
      </c>
      <c r="D12" s="4" t="s">
        <v>41</v>
      </c>
      <c r="E12" s="4">
        <v>1572.82</v>
      </c>
      <c r="F12" s="4">
        <v>6</v>
      </c>
      <c r="G12" s="4">
        <v>0.05</v>
      </c>
      <c r="H12" s="5">
        <v>45402</v>
      </c>
      <c r="I12" s="6">
        <v>672.38</v>
      </c>
      <c r="J12" s="4" t="str">
        <f>TEXT(Table1[[#This Row],[Order_Date]],"MMM")</f>
        <v>Apr</v>
      </c>
      <c r="K12" s="14"/>
    </row>
    <row r="13" spans="1:11" ht="15" thickBot="1" x14ac:dyDescent="0.35">
      <c r="A13" s="3" t="s">
        <v>39</v>
      </c>
      <c r="B13" s="4" t="s">
        <v>38</v>
      </c>
      <c r="C13" s="4" t="s">
        <v>36</v>
      </c>
      <c r="D13" s="4" t="s">
        <v>14</v>
      </c>
      <c r="E13" s="4">
        <v>1343.13</v>
      </c>
      <c r="F13" s="4">
        <v>14</v>
      </c>
      <c r="G13" s="4">
        <v>0.15</v>
      </c>
      <c r="H13" s="5">
        <v>45404</v>
      </c>
      <c r="I13" s="6">
        <v>456.66</v>
      </c>
      <c r="J13" s="4" t="str">
        <f>TEXT(Table1[[#This Row],[Order_Date]],"MMM")</f>
        <v>Apr</v>
      </c>
      <c r="K13" s="14"/>
    </row>
    <row r="14" spans="1:11" ht="15" thickBot="1" x14ac:dyDescent="0.35">
      <c r="A14" s="3" t="s">
        <v>27</v>
      </c>
      <c r="B14" s="4" t="s">
        <v>28</v>
      </c>
      <c r="C14" s="4" t="s">
        <v>36</v>
      </c>
      <c r="D14" s="4" t="s">
        <v>14</v>
      </c>
      <c r="E14" s="4">
        <v>1191.58</v>
      </c>
      <c r="F14" s="4">
        <v>14</v>
      </c>
      <c r="G14" s="4">
        <v>0.05</v>
      </c>
      <c r="H14" s="5">
        <v>45406</v>
      </c>
      <c r="I14" s="6">
        <v>452.8</v>
      </c>
      <c r="J14" s="4" t="str">
        <f>TEXT(Table1[[#This Row],[Order_Date]],"MMM")</f>
        <v>Apr</v>
      </c>
      <c r="K14" s="14"/>
    </row>
    <row r="15" spans="1:11" ht="15" thickBot="1" x14ac:dyDescent="0.35">
      <c r="A15" s="3" t="s">
        <v>42</v>
      </c>
      <c r="B15" s="4" t="s">
        <v>16</v>
      </c>
      <c r="C15" s="4" t="s">
        <v>13</v>
      </c>
      <c r="D15" s="4" t="s">
        <v>29</v>
      </c>
      <c r="E15" s="4">
        <v>822.28</v>
      </c>
      <c r="F15" s="4">
        <v>7</v>
      </c>
      <c r="G15" s="4">
        <v>0.05</v>
      </c>
      <c r="H15" s="5">
        <v>45406</v>
      </c>
      <c r="I15" s="6">
        <v>273.41000000000003</v>
      </c>
      <c r="J15" s="4" t="str">
        <f>TEXT(Table1[[#This Row],[Order_Date]],"MMM")</f>
        <v>Apr</v>
      </c>
      <c r="K15" s="14"/>
    </row>
    <row r="16" spans="1:11" ht="15" thickBot="1" x14ac:dyDescent="0.35">
      <c r="A16" s="3" t="s">
        <v>43</v>
      </c>
      <c r="B16" s="4" t="s">
        <v>44</v>
      </c>
      <c r="C16" s="4" t="s">
        <v>26</v>
      </c>
      <c r="D16" s="4" t="s">
        <v>29</v>
      </c>
      <c r="E16" s="4">
        <v>521.66999999999996</v>
      </c>
      <c r="F16" s="4">
        <v>15</v>
      </c>
      <c r="G16" s="4">
        <v>0.15</v>
      </c>
      <c r="H16" s="5">
        <v>45409</v>
      </c>
      <c r="I16" s="6">
        <v>155.19999999999999</v>
      </c>
      <c r="J16" s="4" t="str">
        <f>TEXT(Table1[[#This Row],[Order_Date]],"MMM")</f>
        <v>Apr</v>
      </c>
      <c r="K16" s="14"/>
    </row>
    <row r="17" spans="1:11" ht="15" thickBot="1" x14ac:dyDescent="0.35">
      <c r="A17" s="3" t="s">
        <v>21</v>
      </c>
      <c r="B17" s="4" t="s">
        <v>45</v>
      </c>
      <c r="C17" s="4" t="s">
        <v>22</v>
      </c>
      <c r="D17" s="4" t="s">
        <v>23</v>
      </c>
      <c r="E17" s="4">
        <v>1502.93</v>
      </c>
      <c r="F17" s="4">
        <v>14</v>
      </c>
      <c r="G17" s="4">
        <v>0.2</v>
      </c>
      <c r="H17" s="5">
        <v>45410</v>
      </c>
      <c r="I17" s="6">
        <v>300.58999999999997</v>
      </c>
      <c r="J17" s="4" t="str">
        <f>TEXT(Table1[[#This Row],[Order_Date]],"MMM")</f>
        <v>Apr</v>
      </c>
      <c r="K17" s="14"/>
    </row>
    <row r="18" spans="1:11" ht="15" thickBot="1" x14ac:dyDescent="0.35">
      <c r="A18" s="3" t="s">
        <v>46</v>
      </c>
      <c r="B18" s="4" t="s">
        <v>16</v>
      </c>
      <c r="C18" s="4" t="s">
        <v>22</v>
      </c>
      <c r="D18" s="4" t="s">
        <v>14</v>
      </c>
      <c r="E18" s="4">
        <v>877.58</v>
      </c>
      <c r="F18" s="4">
        <v>10</v>
      </c>
      <c r="G18" s="4">
        <v>0.15</v>
      </c>
      <c r="H18" s="5">
        <v>45411</v>
      </c>
      <c r="I18" s="6">
        <v>298.38</v>
      </c>
      <c r="J18" s="4" t="str">
        <f>TEXT(Table1[[#This Row],[Order_Date]],"MMM")</f>
        <v>Apr</v>
      </c>
      <c r="K18" s="14"/>
    </row>
    <row r="19" spans="1:11" ht="15" thickBot="1" x14ac:dyDescent="0.35">
      <c r="A19" s="3" t="s">
        <v>30</v>
      </c>
      <c r="B19" s="4" t="s">
        <v>47</v>
      </c>
      <c r="C19" s="4" t="s">
        <v>13</v>
      </c>
      <c r="D19" s="4" t="s">
        <v>14</v>
      </c>
      <c r="E19" s="4">
        <v>636.70000000000005</v>
      </c>
      <c r="F19" s="4">
        <v>4</v>
      </c>
      <c r="G19" s="4">
        <v>0.2</v>
      </c>
      <c r="H19" s="5">
        <v>45411</v>
      </c>
      <c r="I19" s="6">
        <v>203.74</v>
      </c>
      <c r="J19" s="4" t="str">
        <f>TEXT(Table1[[#This Row],[Order_Date]],"MMM")</f>
        <v>Apr</v>
      </c>
      <c r="K19" s="14"/>
    </row>
    <row r="20" spans="1:11" ht="15" thickBot="1" x14ac:dyDescent="0.35">
      <c r="A20" s="3" t="s">
        <v>48</v>
      </c>
      <c r="B20" s="4" t="s">
        <v>49</v>
      </c>
      <c r="C20" s="4" t="s">
        <v>13</v>
      </c>
      <c r="D20" s="4" t="s">
        <v>14</v>
      </c>
      <c r="E20" s="4">
        <v>1506.14</v>
      </c>
      <c r="F20" s="4">
        <v>13</v>
      </c>
      <c r="G20" s="4">
        <v>0.2</v>
      </c>
      <c r="H20" s="5">
        <v>45412</v>
      </c>
      <c r="I20" s="6">
        <v>481.96</v>
      </c>
      <c r="J20" s="4" t="str">
        <f>TEXT(Table1[[#This Row],[Order_Date]],"MMM")</f>
        <v>Apr</v>
      </c>
      <c r="K20" s="14"/>
    </row>
    <row r="21" spans="1:11" ht="15" thickBot="1" x14ac:dyDescent="0.35">
      <c r="A21" s="3" t="s">
        <v>32</v>
      </c>
      <c r="B21" s="4" t="s">
        <v>33</v>
      </c>
      <c r="C21" s="4" t="s">
        <v>36</v>
      </c>
      <c r="D21" s="4" t="s">
        <v>23</v>
      </c>
      <c r="E21" s="4">
        <v>645.02</v>
      </c>
      <c r="F21" s="4">
        <v>4</v>
      </c>
      <c r="G21" s="4">
        <v>0</v>
      </c>
      <c r="H21" s="5">
        <v>45414</v>
      </c>
      <c r="I21" s="6">
        <v>161.26</v>
      </c>
      <c r="J21" s="4" t="str">
        <f>TEXT(Table1[[#This Row],[Order_Date]],"MMM")</f>
        <v>May</v>
      </c>
      <c r="K21" s="14"/>
    </row>
    <row r="22" spans="1:11" ht="15" thickBot="1" x14ac:dyDescent="0.35">
      <c r="A22" s="3" t="s">
        <v>27</v>
      </c>
      <c r="B22" s="4" t="s">
        <v>50</v>
      </c>
      <c r="C22" s="4" t="s">
        <v>22</v>
      </c>
      <c r="D22" s="4" t="s">
        <v>17</v>
      </c>
      <c r="E22" s="4">
        <v>953.3</v>
      </c>
      <c r="F22" s="4">
        <v>11</v>
      </c>
      <c r="G22" s="4">
        <v>0</v>
      </c>
      <c r="H22" s="5">
        <v>45415</v>
      </c>
      <c r="I22" s="6">
        <v>476.65</v>
      </c>
      <c r="J22" s="4" t="str">
        <f>TEXT(Table1[[#This Row],[Order_Date]],"MMM")</f>
        <v>May</v>
      </c>
      <c r="K22" s="14"/>
    </row>
    <row r="23" spans="1:11" ht="15" thickBot="1" x14ac:dyDescent="0.35">
      <c r="A23" s="3" t="s">
        <v>51</v>
      </c>
      <c r="B23" s="4" t="s">
        <v>16</v>
      </c>
      <c r="C23" s="4" t="s">
        <v>26</v>
      </c>
      <c r="D23" s="4" t="s">
        <v>23</v>
      </c>
      <c r="E23" s="4">
        <v>388.56</v>
      </c>
      <c r="F23" s="4">
        <v>14</v>
      </c>
      <c r="G23" s="4">
        <v>0.15</v>
      </c>
      <c r="H23" s="5">
        <v>45416</v>
      </c>
      <c r="I23" s="6">
        <v>82.57</v>
      </c>
      <c r="J23" s="4" t="str">
        <f>TEXT(Table1[[#This Row],[Order_Date]],"MMM")</f>
        <v>May</v>
      </c>
      <c r="K23" s="14"/>
    </row>
    <row r="24" spans="1:11" ht="15" thickBot="1" x14ac:dyDescent="0.35">
      <c r="A24" s="3" t="s">
        <v>11</v>
      </c>
      <c r="B24" s="4" t="s">
        <v>33</v>
      </c>
      <c r="C24" s="4" t="s">
        <v>13</v>
      </c>
      <c r="D24" s="4" t="s">
        <v>14</v>
      </c>
      <c r="E24" s="4">
        <v>743.17</v>
      </c>
      <c r="F24" s="4">
        <v>9</v>
      </c>
      <c r="G24" s="4">
        <v>0</v>
      </c>
      <c r="H24" s="5">
        <v>45416</v>
      </c>
      <c r="I24" s="6">
        <v>297.27</v>
      </c>
      <c r="J24" s="4" t="str">
        <f>TEXT(Table1[[#This Row],[Order_Date]],"MMM")</f>
        <v>May</v>
      </c>
      <c r="K24" s="14"/>
    </row>
    <row r="25" spans="1:11" ht="15" thickBot="1" x14ac:dyDescent="0.35">
      <c r="A25" s="3" t="s">
        <v>42</v>
      </c>
      <c r="B25" s="4" t="s">
        <v>33</v>
      </c>
      <c r="C25" s="4" t="s">
        <v>36</v>
      </c>
      <c r="D25" s="4" t="s">
        <v>23</v>
      </c>
      <c r="E25" s="4">
        <v>706.37</v>
      </c>
      <c r="F25" s="4">
        <v>6</v>
      </c>
      <c r="G25" s="4">
        <v>0</v>
      </c>
      <c r="H25" s="5">
        <v>45416</v>
      </c>
      <c r="I25" s="6">
        <v>176.59</v>
      </c>
      <c r="J25" s="4" t="str">
        <f>TEXT(Table1[[#This Row],[Order_Date]],"MMM")</f>
        <v>May</v>
      </c>
      <c r="K25" s="14"/>
    </row>
    <row r="26" spans="1:11" ht="15" thickBot="1" x14ac:dyDescent="0.35">
      <c r="A26" s="3" t="s">
        <v>15</v>
      </c>
      <c r="B26" s="4" t="s">
        <v>33</v>
      </c>
      <c r="C26" s="4" t="s">
        <v>36</v>
      </c>
      <c r="D26" s="4" t="s">
        <v>41</v>
      </c>
      <c r="E26" s="4">
        <v>925.31</v>
      </c>
      <c r="F26" s="4">
        <v>8</v>
      </c>
      <c r="G26" s="4">
        <v>0.1</v>
      </c>
      <c r="H26" s="5">
        <v>45418</v>
      </c>
      <c r="I26" s="6">
        <v>374.75</v>
      </c>
      <c r="J26" s="4" t="str">
        <f>TEXT(Table1[[#This Row],[Order_Date]],"MMM")</f>
        <v>May</v>
      </c>
      <c r="K26" s="14"/>
    </row>
    <row r="27" spans="1:11" ht="15" thickBot="1" x14ac:dyDescent="0.35">
      <c r="A27" s="3" t="s">
        <v>37</v>
      </c>
      <c r="B27" s="4" t="s">
        <v>52</v>
      </c>
      <c r="C27" s="4" t="s">
        <v>22</v>
      </c>
      <c r="D27" s="4" t="s">
        <v>23</v>
      </c>
      <c r="E27" s="4">
        <v>1173.1199999999999</v>
      </c>
      <c r="F27" s="4">
        <v>18</v>
      </c>
      <c r="G27" s="4">
        <v>0</v>
      </c>
      <c r="H27" s="5">
        <v>45418</v>
      </c>
      <c r="I27" s="6">
        <v>293.27999999999997</v>
      </c>
      <c r="J27" s="4" t="str">
        <f>TEXT(Table1[[#This Row],[Order_Date]],"MMM")</f>
        <v>May</v>
      </c>
      <c r="K27" s="14"/>
    </row>
    <row r="28" spans="1:11" ht="15" thickBot="1" x14ac:dyDescent="0.35">
      <c r="A28" s="3" t="s">
        <v>24</v>
      </c>
      <c r="B28" s="4" t="s">
        <v>53</v>
      </c>
      <c r="C28" s="4" t="s">
        <v>26</v>
      </c>
      <c r="D28" s="4" t="s">
        <v>29</v>
      </c>
      <c r="E28" s="4">
        <v>675.54</v>
      </c>
      <c r="F28" s="4">
        <v>17</v>
      </c>
      <c r="G28" s="4">
        <v>0</v>
      </c>
      <c r="H28" s="5">
        <v>45420</v>
      </c>
      <c r="I28" s="6">
        <v>236.44</v>
      </c>
      <c r="J28" s="4" t="str">
        <f>TEXT(Table1[[#This Row],[Order_Date]],"MMM")</f>
        <v>May</v>
      </c>
      <c r="K28" s="14"/>
    </row>
    <row r="29" spans="1:11" ht="15" thickBot="1" x14ac:dyDescent="0.35">
      <c r="A29" s="3" t="s">
        <v>27</v>
      </c>
      <c r="B29" s="4" t="s">
        <v>16</v>
      </c>
      <c r="C29" s="4" t="s">
        <v>36</v>
      </c>
      <c r="D29" s="4" t="s">
        <v>14</v>
      </c>
      <c r="E29" s="4">
        <v>939.09</v>
      </c>
      <c r="F29" s="4">
        <v>2</v>
      </c>
      <c r="G29" s="4">
        <v>0.05</v>
      </c>
      <c r="H29" s="5">
        <v>45422</v>
      </c>
      <c r="I29" s="6">
        <v>356.85</v>
      </c>
      <c r="J29" s="4" t="str">
        <f>TEXT(Table1[[#This Row],[Order_Date]],"MMM")</f>
        <v>May</v>
      </c>
      <c r="K29" s="14"/>
    </row>
    <row r="30" spans="1:11" ht="15" thickBot="1" x14ac:dyDescent="0.35">
      <c r="A30" s="3" t="s">
        <v>54</v>
      </c>
      <c r="B30" s="4" t="s">
        <v>55</v>
      </c>
      <c r="C30" s="4" t="s">
        <v>20</v>
      </c>
      <c r="D30" s="4" t="s">
        <v>41</v>
      </c>
      <c r="E30" s="4">
        <v>983.34</v>
      </c>
      <c r="F30" s="4">
        <v>19</v>
      </c>
      <c r="G30" s="4">
        <v>0.1</v>
      </c>
      <c r="H30" s="5">
        <v>45426</v>
      </c>
      <c r="I30" s="6">
        <v>398.25</v>
      </c>
      <c r="J30" s="4" t="str">
        <f>TEXT(Table1[[#This Row],[Order_Date]],"MMM")</f>
        <v>May</v>
      </c>
      <c r="K30" s="14"/>
    </row>
    <row r="31" spans="1:11" ht="15" thickBot="1" x14ac:dyDescent="0.35">
      <c r="A31" s="3" t="s">
        <v>54</v>
      </c>
      <c r="B31" s="4" t="s">
        <v>25</v>
      </c>
      <c r="C31" s="4" t="s">
        <v>22</v>
      </c>
      <c r="D31" s="4" t="s">
        <v>23</v>
      </c>
      <c r="E31" s="4">
        <v>801.21</v>
      </c>
      <c r="F31" s="4">
        <v>3</v>
      </c>
      <c r="G31" s="4">
        <v>0.2</v>
      </c>
      <c r="H31" s="5">
        <v>45426</v>
      </c>
      <c r="I31" s="6">
        <v>160.24</v>
      </c>
      <c r="J31" s="4" t="str">
        <f>TEXT(Table1[[#This Row],[Order_Date]],"MMM")</f>
        <v>May</v>
      </c>
      <c r="K31" s="14"/>
    </row>
    <row r="32" spans="1:11" ht="15" thickBot="1" x14ac:dyDescent="0.35">
      <c r="A32" s="3" t="s">
        <v>56</v>
      </c>
      <c r="B32" s="4" t="s">
        <v>57</v>
      </c>
      <c r="C32" s="4" t="s">
        <v>26</v>
      </c>
      <c r="D32" s="4" t="s">
        <v>23</v>
      </c>
      <c r="E32" s="4">
        <v>1450.71</v>
      </c>
      <c r="F32" s="4">
        <v>5</v>
      </c>
      <c r="G32" s="4">
        <v>0.1</v>
      </c>
      <c r="H32" s="5">
        <v>45427</v>
      </c>
      <c r="I32" s="6">
        <v>326.41000000000003</v>
      </c>
      <c r="J32" s="4" t="str">
        <f>TEXT(Table1[[#This Row],[Order_Date]],"MMM")</f>
        <v>May</v>
      </c>
      <c r="K32" s="14"/>
    </row>
    <row r="33" spans="1:11" ht="15" thickBot="1" x14ac:dyDescent="0.35">
      <c r="A33" s="3" t="s">
        <v>51</v>
      </c>
      <c r="B33" s="4" t="s">
        <v>58</v>
      </c>
      <c r="C33" s="4" t="s">
        <v>36</v>
      </c>
      <c r="D33" s="4" t="s">
        <v>14</v>
      </c>
      <c r="E33" s="4">
        <v>1023.21</v>
      </c>
      <c r="F33" s="4">
        <v>18</v>
      </c>
      <c r="G33" s="4">
        <v>0.05</v>
      </c>
      <c r="H33" s="5">
        <v>45428</v>
      </c>
      <c r="I33" s="6">
        <v>388.82</v>
      </c>
      <c r="J33" s="4" t="str">
        <f>TEXT(Table1[[#This Row],[Order_Date]],"MMM")</f>
        <v>May</v>
      </c>
      <c r="K33" s="14"/>
    </row>
    <row r="34" spans="1:11" ht="15" thickBot="1" x14ac:dyDescent="0.35">
      <c r="A34" s="3" t="s">
        <v>30</v>
      </c>
      <c r="B34" s="4" t="s">
        <v>49</v>
      </c>
      <c r="C34" s="4" t="s">
        <v>13</v>
      </c>
      <c r="D34" s="4" t="s">
        <v>29</v>
      </c>
      <c r="E34" s="4">
        <v>853.72</v>
      </c>
      <c r="F34" s="4">
        <v>5</v>
      </c>
      <c r="G34" s="4">
        <v>0.15</v>
      </c>
      <c r="H34" s="5">
        <v>45428</v>
      </c>
      <c r="I34" s="6">
        <v>253.98</v>
      </c>
      <c r="J34" s="4" t="str">
        <f>TEXT(Table1[[#This Row],[Order_Date]],"MMM")</f>
        <v>May</v>
      </c>
      <c r="K34" s="14"/>
    </row>
    <row r="35" spans="1:11" ht="15" thickBot="1" x14ac:dyDescent="0.35">
      <c r="A35" s="3" t="s">
        <v>59</v>
      </c>
      <c r="B35" s="4" t="s">
        <v>45</v>
      </c>
      <c r="C35" s="4" t="s">
        <v>22</v>
      </c>
      <c r="D35" s="4" t="s">
        <v>23</v>
      </c>
      <c r="E35" s="4">
        <v>967.89</v>
      </c>
      <c r="F35" s="4">
        <v>10</v>
      </c>
      <c r="G35" s="4">
        <v>0.1</v>
      </c>
      <c r="H35" s="5">
        <v>45429</v>
      </c>
      <c r="I35" s="6">
        <v>217.78</v>
      </c>
      <c r="J35" s="4" t="str">
        <f>TEXT(Table1[[#This Row],[Order_Date]],"MMM")</f>
        <v>May</v>
      </c>
      <c r="K35" s="14"/>
    </row>
    <row r="36" spans="1:11" ht="15" thickBot="1" x14ac:dyDescent="0.35">
      <c r="A36" s="3" t="s">
        <v>60</v>
      </c>
      <c r="B36" s="4" t="s">
        <v>55</v>
      </c>
      <c r="C36" s="4" t="s">
        <v>26</v>
      </c>
      <c r="D36" s="4" t="s">
        <v>41</v>
      </c>
      <c r="E36" s="4">
        <v>1200.9000000000001</v>
      </c>
      <c r="F36" s="4">
        <v>14</v>
      </c>
      <c r="G36" s="4">
        <v>0.05</v>
      </c>
      <c r="H36" s="5">
        <v>45429</v>
      </c>
      <c r="I36" s="6">
        <v>513.38</v>
      </c>
      <c r="J36" s="4" t="str">
        <f>TEXT(Table1[[#This Row],[Order_Date]],"MMM")</f>
        <v>May</v>
      </c>
      <c r="K36" s="14"/>
    </row>
    <row r="37" spans="1:11" ht="15" thickBot="1" x14ac:dyDescent="0.35">
      <c r="A37" s="3" t="s">
        <v>15</v>
      </c>
      <c r="B37" s="4" t="s">
        <v>28</v>
      </c>
      <c r="C37" s="4" t="s">
        <v>13</v>
      </c>
      <c r="D37" s="4" t="s">
        <v>14</v>
      </c>
      <c r="E37" s="4">
        <v>472.38</v>
      </c>
      <c r="F37" s="4">
        <v>12</v>
      </c>
      <c r="G37" s="4">
        <v>0.2</v>
      </c>
      <c r="H37" s="5">
        <v>45429</v>
      </c>
      <c r="I37" s="6">
        <v>151.16</v>
      </c>
      <c r="J37" s="4" t="str">
        <f>TEXT(Table1[[#This Row],[Order_Date]],"MMM")</f>
        <v>May</v>
      </c>
      <c r="K37" s="14"/>
    </row>
    <row r="38" spans="1:11" ht="15" thickBot="1" x14ac:dyDescent="0.35">
      <c r="A38" s="3" t="s">
        <v>11</v>
      </c>
      <c r="B38" s="4" t="s">
        <v>57</v>
      </c>
      <c r="C38" s="4" t="s">
        <v>20</v>
      </c>
      <c r="D38" s="4" t="s">
        <v>41</v>
      </c>
      <c r="E38" s="4">
        <v>840.92</v>
      </c>
      <c r="F38" s="4">
        <v>9</v>
      </c>
      <c r="G38" s="4">
        <v>0.05</v>
      </c>
      <c r="H38" s="5">
        <v>45429</v>
      </c>
      <c r="I38" s="6">
        <v>359.49</v>
      </c>
      <c r="J38" s="4" t="str">
        <f>TEXT(Table1[[#This Row],[Order_Date]],"MMM")</f>
        <v>May</v>
      </c>
      <c r="K38" s="14"/>
    </row>
    <row r="39" spans="1:11" ht="15" thickBot="1" x14ac:dyDescent="0.35">
      <c r="A39" s="3" t="s">
        <v>54</v>
      </c>
      <c r="B39" s="4" t="s">
        <v>50</v>
      </c>
      <c r="C39" s="4" t="s">
        <v>36</v>
      </c>
      <c r="D39" s="4" t="s">
        <v>29</v>
      </c>
      <c r="E39" s="4">
        <v>1410.06</v>
      </c>
      <c r="F39" s="4">
        <v>11</v>
      </c>
      <c r="G39" s="4">
        <v>0.05</v>
      </c>
      <c r="H39" s="5">
        <v>45434</v>
      </c>
      <c r="I39" s="6">
        <v>468.84</v>
      </c>
      <c r="J39" s="4" t="str">
        <f>TEXT(Table1[[#This Row],[Order_Date]],"MMM")</f>
        <v>May</v>
      </c>
      <c r="K39" s="14"/>
    </row>
    <row r="40" spans="1:11" ht="15" thickBot="1" x14ac:dyDescent="0.35">
      <c r="A40" s="3" t="s">
        <v>46</v>
      </c>
      <c r="B40" s="4" t="s">
        <v>61</v>
      </c>
      <c r="C40" s="4" t="s">
        <v>36</v>
      </c>
      <c r="D40" s="4" t="s">
        <v>29</v>
      </c>
      <c r="E40" s="4">
        <v>773.09</v>
      </c>
      <c r="F40" s="4">
        <v>13</v>
      </c>
      <c r="G40" s="4">
        <v>0.15</v>
      </c>
      <c r="H40" s="5">
        <v>45434</v>
      </c>
      <c r="I40" s="6">
        <v>229.99</v>
      </c>
      <c r="J40" s="4" t="str">
        <f>TEXT(Table1[[#This Row],[Order_Date]],"MMM")</f>
        <v>May</v>
      </c>
      <c r="K40" s="14"/>
    </row>
    <row r="41" spans="1:11" ht="15" thickBot="1" x14ac:dyDescent="0.35">
      <c r="A41" s="3" t="s">
        <v>62</v>
      </c>
      <c r="B41" s="4" t="s">
        <v>63</v>
      </c>
      <c r="C41" s="4" t="s">
        <v>20</v>
      </c>
      <c r="D41" s="4" t="s">
        <v>14</v>
      </c>
      <c r="E41" s="4">
        <v>580.42999999999995</v>
      </c>
      <c r="F41" s="4">
        <v>19</v>
      </c>
      <c r="G41" s="4">
        <v>0.15</v>
      </c>
      <c r="H41" s="5">
        <v>45435</v>
      </c>
      <c r="I41" s="6">
        <v>197.35</v>
      </c>
      <c r="J41" s="4" t="str">
        <f>TEXT(Table1[[#This Row],[Order_Date]],"MMM")</f>
        <v>May</v>
      </c>
      <c r="K41" s="14"/>
    </row>
    <row r="42" spans="1:11" ht="15" thickBot="1" x14ac:dyDescent="0.35">
      <c r="A42" s="3" t="s">
        <v>21</v>
      </c>
      <c r="B42" s="4" t="s">
        <v>44</v>
      </c>
      <c r="C42" s="4" t="s">
        <v>22</v>
      </c>
      <c r="D42" s="4" t="s">
        <v>14</v>
      </c>
      <c r="E42" s="4">
        <v>1151.21</v>
      </c>
      <c r="F42" s="4">
        <v>15</v>
      </c>
      <c r="G42" s="4">
        <v>0.1</v>
      </c>
      <c r="H42" s="5">
        <v>45445</v>
      </c>
      <c r="I42" s="6">
        <v>414.44</v>
      </c>
      <c r="J42" s="4" t="str">
        <f>TEXT(Table1[[#This Row],[Order_Date]],"MMM")</f>
        <v>Jun</v>
      </c>
      <c r="K42" s="14"/>
    </row>
    <row r="43" spans="1:11" ht="15" thickBot="1" x14ac:dyDescent="0.35">
      <c r="A43" s="3" t="s">
        <v>54</v>
      </c>
      <c r="B43" s="4" t="s">
        <v>25</v>
      </c>
      <c r="C43" s="4" t="s">
        <v>36</v>
      </c>
      <c r="D43" s="4" t="s">
        <v>41</v>
      </c>
      <c r="E43" s="4">
        <v>1025.98</v>
      </c>
      <c r="F43" s="4">
        <v>5</v>
      </c>
      <c r="G43" s="4">
        <v>0.2</v>
      </c>
      <c r="H43" s="5">
        <v>45447</v>
      </c>
      <c r="I43" s="6">
        <v>369.35</v>
      </c>
      <c r="J43" s="4" t="str">
        <f>TEXT(Table1[[#This Row],[Order_Date]],"MMM")</f>
        <v>Jun</v>
      </c>
      <c r="K43" s="14"/>
    </row>
    <row r="44" spans="1:11" ht="15" thickBot="1" x14ac:dyDescent="0.35">
      <c r="A44" s="3" t="s">
        <v>42</v>
      </c>
      <c r="B44" s="4" t="s">
        <v>58</v>
      </c>
      <c r="C44" s="4" t="s">
        <v>20</v>
      </c>
      <c r="D44" s="4" t="s">
        <v>41</v>
      </c>
      <c r="E44" s="4">
        <v>556.41999999999996</v>
      </c>
      <c r="F44" s="4">
        <v>11</v>
      </c>
      <c r="G44" s="4">
        <v>0.15</v>
      </c>
      <c r="H44" s="5">
        <v>45447</v>
      </c>
      <c r="I44" s="6">
        <v>212.83</v>
      </c>
      <c r="J44" s="4" t="str">
        <f>TEXT(Table1[[#This Row],[Order_Date]],"MMM")</f>
        <v>Jun</v>
      </c>
      <c r="K44" s="14"/>
    </row>
    <row r="45" spans="1:11" ht="15" thickBot="1" x14ac:dyDescent="0.35">
      <c r="A45" s="3" t="s">
        <v>59</v>
      </c>
      <c r="B45" s="4" t="s">
        <v>25</v>
      </c>
      <c r="C45" s="4" t="s">
        <v>36</v>
      </c>
      <c r="D45" s="4" t="s">
        <v>14</v>
      </c>
      <c r="E45" s="4">
        <v>840.85</v>
      </c>
      <c r="F45" s="4">
        <v>19</v>
      </c>
      <c r="G45" s="4">
        <v>0.1</v>
      </c>
      <c r="H45" s="5">
        <v>45448</v>
      </c>
      <c r="I45" s="6">
        <v>302.70999999999998</v>
      </c>
      <c r="J45" s="4" t="str">
        <f>TEXT(Table1[[#This Row],[Order_Date]],"MMM")</f>
        <v>Jun</v>
      </c>
      <c r="K45" s="14"/>
    </row>
    <row r="46" spans="1:11" ht="15" thickBot="1" x14ac:dyDescent="0.35">
      <c r="A46" s="3" t="s">
        <v>32</v>
      </c>
      <c r="B46" s="4" t="s">
        <v>63</v>
      </c>
      <c r="C46" s="4" t="s">
        <v>26</v>
      </c>
      <c r="D46" s="4" t="s">
        <v>29</v>
      </c>
      <c r="E46" s="4">
        <v>1227.25</v>
      </c>
      <c r="F46" s="4">
        <v>12</v>
      </c>
      <c r="G46" s="4">
        <v>0.15</v>
      </c>
      <c r="H46" s="5">
        <v>45448</v>
      </c>
      <c r="I46" s="6">
        <v>365.11</v>
      </c>
      <c r="J46" s="4" t="str">
        <f>TEXT(Table1[[#This Row],[Order_Date]],"MMM")</f>
        <v>Jun</v>
      </c>
      <c r="K46" s="14"/>
    </row>
    <row r="47" spans="1:11" ht="15" thickBot="1" x14ac:dyDescent="0.35">
      <c r="A47" s="3" t="s">
        <v>18</v>
      </c>
      <c r="B47" s="4" t="s">
        <v>64</v>
      </c>
      <c r="C47" s="4" t="s">
        <v>36</v>
      </c>
      <c r="D47" s="4" t="s">
        <v>23</v>
      </c>
      <c r="E47" s="4">
        <v>856.7</v>
      </c>
      <c r="F47" s="4">
        <v>2</v>
      </c>
      <c r="G47" s="4">
        <v>0</v>
      </c>
      <c r="H47" s="5">
        <v>45449</v>
      </c>
      <c r="I47" s="6">
        <v>214.18</v>
      </c>
      <c r="J47" s="4" t="str">
        <f>TEXT(Table1[[#This Row],[Order_Date]],"MMM")</f>
        <v>Jun</v>
      </c>
      <c r="K47" s="14"/>
    </row>
    <row r="48" spans="1:11" ht="15" thickBot="1" x14ac:dyDescent="0.35">
      <c r="A48" s="3" t="s">
        <v>56</v>
      </c>
      <c r="B48" s="4" t="s">
        <v>58</v>
      </c>
      <c r="C48" s="4" t="s">
        <v>36</v>
      </c>
      <c r="D48" s="4" t="s">
        <v>41</v>
      </c>
      <c r="E48" s="4">
        <v>1225.42</v>
      </c>
      <c r="F48" s="4">
        <v>8</v>
      </c>
      <c r="G48" s="4">
        <v>0.15</v>
      </c>
      <c r="H48" s="5">
        <v>45449</v>
      </c>
      <c r="I48" s="6">
        <v>468.72</v>
      </c>
      <c r="J48" s="4" t="str">
        <f>TEXT(Table1[[#This Row],[Order_Date]],"MMM")</f>
        <v>Jun</v>
      </c>
      <c r="K48" s="14"/>
    </row>
    <row r="49" spans="1:11" ht="15" thickBot="1" x14ac:dyDescent="0.35">
      <c r="A49" s="3" t="s">
        <v>65</v>
      </c>
      <c r="B49" s="4" t="s">
        <v>33</v>
      </c>
      <c r="C49" s="4" t="s">
        <v>26</v>
      </c>
      <c r="D49" s="4" t="s">
        <v>41</v>
      </c>
      <c r="E49" s="4">
        <v>1001.57</v>
      </c>
      <c r="F49" s="4">
        <v>12</v>
      </c>
      <c r="G49" s="4">
        <v>0</v>
      </c>
      <c r="H49" s="5">
        <v>45450</v>
      </c>
      <c r="I49" s="6">
        <v>450.71</v>
      </c>
      <c r="J49" s="4" t="str">
        <f>TEXT(Table1[[#This Row],[Order_Date]],"MMM")</f>
        <v>Jun</v>
      </c>
      <c r="K49" s="14"/>
    </row>
    <row r="50" spans="1:11" ht="15" thickBot="1" x14ac:dyDescent="0.35">
      <c r="A50" s="3" t="s">
        <v>59</v>
      </c>
      <c r="B50" s="4" t="s">
        <v>28</v>
      </c>
      <c r="C50" s="4" t="s">
        <v>20</v>
      </c>
      <c r="D50" s="4" t="s">
        <v>29</v>
      </c>
      <c r="E50" s="4">
        <v>1186.8499999999999</v>
      </c>
      <c r="F50" s="4">
        <v>19</v>
      </c>
      <c r="G50" s="4">
        <v>0.2</v>
      </c>
      <c r="H50" s="5">
        <v>45451</v>
      </c>
      <c r="I50" s="6">
        <v>332.32</v>
      </c>
      <c r="J50" s="4" t="str">
        <f>TEXT(Table1[[#This Row],[Order_Date]],"MMM")</f>
        <v>Jun</v>
      </c>
      <c r="K50" s="14"/>
    </row>
    <row r="51" spans="1:11" ht="15" thickBot="1" x14ac:dyDescent="0.35">
      <c r="A51" s="3" t="s">
        <v>46</v>
      </c>
      <c r="B51" s="4" t="s">
        <v>53</v>
      </c>
      <c r="C51" s="4" t="s">
        <v>22</v>
      </c>
      <c r="D51" s="4" t="s">
        <v>23</v>
      </c>
      <c r="E51" s="4">
        <v>775.45</v>
      </c>
      <c r="F51" s="4">
        <v>6</v>
      </c>
      <c r="G51" s="4">
        <v>0.1</v>
      </c>
      <c r="H51" s="5">
        <v>45457</v>
      </c>
      <c r="I51" s="6">
        <v>174.48</v>
      </c>
      <c r="J51" s="4" t="str">
        <f>TEXT(Table1[[#This Row],[Order_Date]],"MMM")</f>
        <v>Jun</v>
      </c>
      <c r="K51" s="14"/>
    </row>
    <row r="52" spans="1:11" ht="15" thickBot="1" x14ac:dyDescent="0.35">
      <c r="A52" s="3" t="s">
        <v>27</v>
      </c>
      <c r="B52" s="4" t="s">
        <v>35</v>
      </c>
      <c r="C52" s="4" t="s">
        <v>22</v>
      </c>
      <c r="D52" s="4" t="s">
        <v>23</v>
      </c>
      <c r="E52" s="4">
        <v>1021.47</v>
      </c>
      <c r="F52" s="4">
        <v>6</v>
      </c>
      <c r="G52" s="4">
        <v>0.05</v>
      </c>
      <c r="H52" s="5">
        <v>45461</v>
      </c>
      <c r="I52" s="6">
        <v>242.6</v>
      </c>
      <c r="J52" s="4" t="str">
        <f>TEXT(Table1[[#This Row],[Order_Date]],"MMM")</f>
        <v>Jun</v>
      </c>
      <c r="K52" s="14"/>
    </row>
    <row r="53" spans="1:11" ht="15" thickBot="1" x14ac:dyDescent="0.35">
      <c r="A53" s="3" t="s">
        <v>60</v>
      </c>
      <c r="B53" s="4" t="s">
        <v>25</v>
      </c>
      <c r="C53" s="4" t="s">
        <v>22</v>
      </c>
      <c r="D53" s="4" t="s">
        <v>17</v>
      </c>
      <c r="E53" s="4">
        <v>1226.6199999999999</v>
      </c>
      <c r="F53" s="4">
        <v>7</v>
      </c>
      <c r="G53" s="4">
        <v>0.1</v>
      </c>
      <c r="H53" s="5">
        <v>45463</v>
      </c>
      <c r="I53" s="6">
        <v>551.98</v>
      </c>
      <c r="J53" s="4" t="str">
        <f>TEXT(Table1[[#This Row],[Order_Date]],"MMM")</f>
        <v>Jun</v>
      </c>
      <c r="K53" s="14"/>
    </row>
    <row r="54" spans="1:11" ht="15" thickBot="1" x14ac:dyDescent="0.35">
      <c r="A54" s="3" t="s">
        <v>24</v>
      </c>
      <c r="B54" s="4" t="s">
        <v>66</v>
      </c>
      <c r="C54" s="4" t="s">
        <v>22</v>
      </c>
      <c r="D54" s="4" t="s">
        <v>29</v>
      </c>
      <c r="E54" s="4">
        <v>1086.93</v>
      </c>
      <c r="F54" s="4">
        <v>2</v>
      </c>
      <c r="G54" s="4">
        <v>0</v>
      </c>
      <c r="H54" s="5">
        <v>45464</v>
      </c>
      <c r="I54" s="6">
        <v>380.43</v>
      </c>
      <c r="J54" s="4" t="str">
        <f>TEXT(Table1[[#This Row],[Order_Date]],"MMM")</f>
        <v>Jun</v>
      </c>
      <c r="K54" s="14"/>
    </row>
    <row r="55" spans="1:11" ht="15" thickBot="1" x14ac:dyDescent="0.35">
      <c r="A55" s="3" t="s">
        <v>67</v>
      </c>
      <c r="B55" s="4" t="s">
        <v>50</v>
      </c>
      <c r="C55" s="4" t="s">
        <v>13</v>
      </c>
      <c r="D55" s="4" t="s">
        <v>14</v>
      </c>
      <c r="E55" s="4">
        <v>942.9</v>
      </c>
      <c r="F55" s="4">
        <v>18</v>
      </c>
      <c r="G55" s="4">
        <v>0.1</v>
      </c>
      <c r="H55" s="5">
        <v>45466</v>
      </c>
      <c r="I55" s="6">
        <v>339.44</v>
      </c>
      <c r="J55" s="4" t="str">
        <f>TEXT(Table1[[#This Row],[Order_Date]],"MMM")</f>
        <v>Jun</v>
      </c>
      <c r="K55" s="14"/>
    </row>
    <row r="56" spans="1:11" ht="15" thickBot="1" x14ac:dyDescent="0.35">
      <c r="A56" s="3" t="s">
        <v>34</v>
      </c>
      <c r="B56" s="4" t="s">
        <v>40</v>
      </c>
      <c r="C56" s="4" t="s">
        <v>26</v>
      </c>
      <c r="D56" s="4" t="s">
        <v>23</v>
      </c>
      <c r="E56" s="4">
        <v>818.8</v>
      </c>
      <c r="F56" s="4">
        <v>15</v>
      </c>
      <c r="G56" s="4">
        <v>0.15</v>
      </c>
      <c r="H56" s="5">
        <v>45468</v>
      </c>
      <c r="I56" s="6">
        <v>173.99</v>
      </c>
      <c r="J56" s="4" t="str">
        <f>TEXT(Table1[[#This Row],[Order_Date]],"MMM")</f>
        <v>Jun</v>
      </c>
      <c r="K56" s="14"/>
    </row>
    <row r="57" spans="1:11" ht="15" thickBot="1" x14ac:dyDescent="0.35">
      <c r="A57" s="3" t="s">
        <v>21</v>
      </c>
      <c r="B57" s="4" t="s">
        <v>16</v>
      </c>
      <c r="C57" s="4" t="s">
        <v>22</v>
      </c>
      <c r="D57" s="4" t="s">
        <v>29</v>
      </c>
      <c r="E57" s="4">
        <v>919.04</v>
      </c>
      <c r="F57" s="4">
        <v>10</v>
      </c>
      <c r="G57" s="4">
        <v>0.2</v>
      </c>
      <c r="H57" s="5">
        <v>45468</v>
      </c>
      <c r="I57" s="6">
        <v>257.33</v>
      </c>
      <c r="J57" s="4" t="str">
        <f>TEXT(Table1[[#This Row],[Order_Date]],"MMM")</f>
        <v>Jun</v>
      </c>
      <c r="K57" s="14"/>
    </row>
    <row r="58" spans="1:11" ht="15" thickBot="1" x14ac:dyDescent="0.35">
      <c r="A58" s="3" t="s">
        <v>24</v>
      </c>
      <c r="B58" s="4" t="s">
        <v>68</v>
      </c>
      <c r="C58" s="4" t="s">
        <v>36</v>
      </c>
      <c r="D58" s="4" t="s">
        <v>14</v>
      </c>
      <c r="E58" s="4">
        <v>973.26</v>
      </c>
      <c r="F58" s="4">
        <v>11</v>
      </c>
      <c r="G58" s="4">
        <v>0</v>
      </c>
      <c r="H58" s="5">
        <v>45470</v>
      </c>
      <c r="I58" s="6">
        <v>389.3</v>
      </c>
      <c r="J58" s="4" t="str">
        <f>TEXT(Table1[[#This Row],[Order_Date]],"MMM")</f>
        <v>Jun</v>
      </c>
      <c r="K58" s="14"/>
    </row>
    <row r="59" spans="1:11" ht="15" thickBot="1" x14ac:dyDescent="0.35">
      <c r="A59" s="3" t="s">
        <v>43</v>
      </c>
      <c r="B59" s="4" t="s">
        <v>66</v>
      </c>
      <c r="C59" s="4" t="s">
        <v>26</v>
      </c>
      <c r="D59" s="4" t="s">
        <v>23</v>
      </c>
      <c r="E59" s="4">
        <v>741.61</v>
      </c>
      <c r="F59" s="4">
        <v>1</v>
      </c>
      <c r="G59" s="4">
        <v>0.2</v>
      </c>
      <c r="H59" s="5">
        <v>45471</v>
      </c>
      <c r="I59" s="6">
        <v>148.32</v>
      </c>
      <c r="J59" s="4" t="str">
        <f>TEXT(Table1[[#This Row],[Order_Date]],"MMM")</f>
        <v>Jun</v>
      </c>
      <c r="K59" s="14"/>
    </row>
    <row r="60" spans="1:11" ht="15" thickBot="1" x14ac:dyDescent="0.35">
      <c r="A60" s="3" t="s">
        <v>69</v>
      </c>
      <c r="B60" s="4" t="s">
        <v>40</v>
      </c>
      <c r="C60" s="4" t="s">
        <v>26</v>
      </c>
      <c r="D60" s="4" t="s">
        <v>14</v>
      </c>
      <c r="E60" s="4">
        <v>1248.82</v>
      </c>
      <c r="F60" s="4">
        <v>2</v>
      </c>
      <c r="G60" s="4">
        <v>0.1</v>
      </c>
      <c r="H60" s="5">
        <v>45473</v>
      </c>
      <c r="I60" s="6">
        <v>449.58</v>
      </c>
      <c r="J60" s="4" t="str">
        <f>TEXT(Table1[[#This Row],[Order_Date]],"MMM")</f>
        <v>Jun</v>
      </c>
      <c r="K60" s="14"/>
    </row>
    <row r="61" spans="1:11" ht="15" thickBot="1" x14ac:dyDescent="0.35">
      <c r="A61" s="3" t="s">
        <v>15</v>
      </c>
      <c r="B61" s="4" t="s">
        <v>61</v>
      </c>
      <c r="C61" s="4" t="s">
        <v>13</v>
      </c>
      <c r="D61" s="4" t="s">
        <v>17</v>
      </c>
      <c r="E61" s="4">
        <v>1360.36</v>
      </c>
      <c r="F61" s="4">
        <v>17</v>
      </c>
      <c r="G61" s="4">
        <v>0</v>
      </c>
      <c r="H61" s="5">
        <v>45473</v>
      </c>
      <c r="I61" s="6">
        <v>680.18</v>
      </c>
      <c r="J61" s="4" t="str">
        <f>TEXT(Table1[[#This Row],[Order_Date]],"MMM")</f>
        <v>Jun</v>
      </c>
      <c r="K61" s="14"/>
    </row>
    <row r="62" spans="1:11" ht="15" thickBot="1" x14ac:dyDescent="0.35">
      <c r="A62" s="3" t="s">
        <v>59</v>
      </c>
      <c r="B62" s="4" t="s">
        <v>33</v>
      </c>
      <c r="C62" s="4" t="s">
        <v>20</v>
      </c>
      <c r="D62" s="4" t="s">
        <v>14</v>
      </c>
      <c r="E62" s="4">
        <v>1383.3</v>
      </c>
      <c r="F62" s="4">
        <v>8</v>
      </c>
      <c r="G62" s="4">
        <v>0.1</v>
      </c>
      <c r="H62" s="5">
        <v>45478</v>
      </c>
      <c r="I62" s="6">
        <v>497.99</v>
      </c>
      <c r="J62" s="4" t="str">
        <f>TEXT(Table1[[#This Row],[Order_Date]],"MMM")</f>
        <v>Jul</v>
      </c>
      <c r="K62" s="14"/>
    </row>
    <row r="63" spans="1:11" ht="15" thickBot="1" x14ac:dyDescent="0.35">
      <c r="A63" s="3" t="s">
        <v>37</v>
      </c>
      <c r="B63" s="4" t="s">
        <v>57</v>
      </c>
      <c r="C63" s="4" t="s">
        <v>36</v>
      </c>
      <c r="D63" s="4" t="s">
        <v>41</v>
      </c>
      <c r="E63" s="4">
        <v>488.99</v>
      </c>
      <c r="F63" s="4">
        <v>9</v>
      </c>
      <c r="G63" s="4">
        <v>0</v>
      </c>
      <c r="H63" s="5">
        <v>45479</v>
      </c>
      <c r="I63" s="6">
        <v>220.05</v>
      </c>
      <c r="J63" s="4" t="str">
        <f>TEXT(Table1[[#This Row],[Order_Date]],"MMM")</f>
        <v>Jul</v>
      </c>
      <c r="K63" s="14"/>
    </row>
    <row r="64" spans="1:11" ht="15" thickBot="1" x14ac:dyDescent="0.35">
      <c r="A64" s="3" t="s">
        <v>32</v>
      </c>
      <c r="B64" s="4" t="s">
        <v>33</v>
      </c>
      <c r="C64" s="4" t="s">
        <v>20</v>
      </c>
      <c r="D64" s="4" t="s">
        <v>29</v>
      </c>
      <c r="E64" s="4">
        <v>933.71</v>
      </c>
      <c r="F64" s="4">
        <v>17</v>
      </c>
      <c r="G64" s="4">
        <v>0.1</v>
      </c>
      <c r="H64" s="5">
        <v>45481</v>
      </c>
      <c r="I64" s="6">
        <v>294.12</v>
      </c>
      <c r="J64" s="4" t="str">
        <f>TEXT(Table1[[#This Row],[Order_Date]],"MMM")</f>
        <v>Jul</v>
      </c>
      <c r="K64" s="14"/>
    </row>
    <row r="65" spans="1:11" ht="15" thickBot="1" x14ac:dyDescent="0.35">
      <c r="A65" s="3" t="s">
        <v>69</v>
      </c>
      <c r="B65" s="4" t="s">
        <v>12</v>
      </c>
      <c r="C65" s="4" t="s">
        <v>13</v>
      </c>
      <c r="D65" s="4" t="s">
        <v>23</v>
      </c>
      <c r="E65" s="4">
        <v>1005.53</v>
      </c>
      <c r="F65" s="4">
        <v>17</v>
      </c>
      <c r="G65" s="4">
        <v>0.2</v>
      </c>
      <c r="H65" s="5">
        <v>45481</v>
      </c>
      <c r="I65" s="6">
        <v>201.11</v>
      </c>
      <c r="J65" s="4" t="str">
        <f>TEXT(Table1[[#This Row],[Order_Date]],"MMM")</f>
        <v>Jul</v>
      </c>
      <c r="K65" s="14"/>
    </row>
    <row r="66" spans="1:11" ht="15" thickBot="1" x14ac:dyDescent="0.35">
      <c r="A66" s="3" t="s">
        <v>43</v>
      </c>
      <c r="B66" s="4" t="s">
        <v>63</v>
      </c>
      <c r="C66" s="4" t="s">
        <v>22</v>
      </c>
      <c r="D66" s="4" t="s">
        <v>23</v>
      </c>
      <c r="E66" s="4">
        <v>1100.0999999999999</v>
      </c>
      <c r="F66" s="4">
        <v>5</v>
      </c>
      <c r="G66" s="4">
        <v>0.05</v>
      </c>
      <c r="H66" s="5">
        <v>45482</v>
      </c>
      <c r="I66" s="6">
        <v>261.27</v>
      </c>
      <c r="J66" s="4" t="str">
        <f>TEXT(Table1[[#This Row],[Order_Date]],"MMM")</f>
        <v>Jul</v>
      </c>
      <c r="K66" s="14"/>
    </row>
    <row r="67" spans="1:11" ht="15" thickBot="1" x14ac:dyDescent="0.35">
      <c r="A67" s="3" t="s">
        <v>69</v>
      </c>
      <c r="B67" s="4" t="s">
        <v>25</v>
      </c>
      <c r="C67" s="4" t="s">
        <v>26</v>
      </c>
      <c r="D67" s="4" t="s">
        <v>29</v>
      </c>
      <c r="E67" s="4">
        <v>1034.7</v>
      </c>
      <c r="F67" s="4">
        <v>15</v>
      </c>
      <c r="G67" s="4">
        <v>0.15</v>
      </c>
      <c r="H67" s="5">
        <v>45487</v>
      </c>
      <c r="I67" s="6">
        <v>307.82</v>
      </c>
      <c r="J67" s="4" t="str">
        <f>TEXT(Table1[[#This Row],[Order_Date]],"MMM")</f>
        <v>Jul</v>
      </c>
      <c r="K67" s="14"/>
    </row>
    <row r="68" spans="1:11" ht="15" thickBot="1" x14ac:dyDescent="0.35">
      <c r="A68" s="3" t="s">
        <v>67</v>
      </c>
      <c r="B68" s="4" t="s">
        <v>33</v>
      </c>
      <c r="C68" s="4" t="s">
        <v>22</v>
      </c>
      <c r="D68" s="4" t="s">
        <v>14</v>
      </c>
      <c r="E68" s="4">
        <v>876.44</v>
      </c>
      <c r="F68" s="4">
        <v>12</v>
      </c>
      <c r="G68" s="4">
        <v>0.05</v>
      </c>
      <c r="H68" s="5">
        <v>45488</v>
      </c>
      <c r="I68" s="6">
        <v>333.05</v>
      </c>
      <c r="J68" s="4" t="str">
        <f>TEXT(Table1[[#This Row],[Order_Date]],"MMM")</f>
        <v>Jul</v>
      </c>
      <c r="K68" s="14"/>
    </row>
    <row r="69" spans="1:11" ht="15" thickBot="1" x14ac:dyDescent="0.35">
      <c r="A69" s="3" t="s">
        <v>70</v>
      </c>
      <c r="B69" s="4" t="s">
        <v>57</v>
      </c>
      <c r="C69" s="4" t="s">
        <v>13</v>
      </c>
      <c r="D69" s="4" t="s">
        <v>29</v>
      </c>
      <c r="E69" s="4">
        <v>1371.34</v>
      </c>
      <c r="F69" s="4">
        <v>5</v>
      </c>
      <c r="G69" s="4">
        <v>0.05</v>
      </c>
      <c r="H69" s="5">
        <v>45488</v>
      </c>
      <c r="I69" s="6">
        <v>455.97</v>
      </c>
      <c r="J69" s="4" t="str">
        <f>TEXT(Table1[[#This Row],[Order_Date]],"MMM")</f>
        <v>Jul</v>
      </c>
      <c r="K69" s="14"/>
    </row>
    <row r="70" spans="1:11" ht="15" thickBot="1" x14ac:dyDescent="0.35">
      <c r="A70" s="3" t="s">
        <v>59</v>
      </c>
      <c r="B70" s="4" t="s">
        <v>49</v>
      </c>
      <c r="C70" s="4" t="s">
        <v>26</v>
      </c>
      <c r="D70" s="4" t="s">
        <v>23</v>
      </c>
      <c r="E70" s="4">
        <v>1020.26</v>
      </c>
      <c r="F70" s="4">
        <v>11</v>
      </c>
      <c r="G70" s="4">
        <v>0.05</v>
      </c>
      <c r="H70" s="5">
        <v>45494</v>
      </c>
      <c r="I70" s="6">
        <v>242.31</v>
      </c>
      <c r="J70" s="4" t="str">
        <f>TEXT(Table1[[#This Row],[Order_Date]],"MMM")</f>
        <v>Jul</v>
      </c>
      <c r="K70" s="14"/>
    </row>
    <row r="71" spans="1:11" ht="15" thickBot="1" x14ac:dyDescent="0.35">
      <c r="A71" s="3" t="s">
        <v>46</v>
      </c>
      <c r="B71" s="4" t="s">
        <v>12</v>
      </c>
      <c r="C71" s="4" t="s">
        <v>36</v>
      </c>
      <c r="D71" s="4" t="s">
        <v>41</v>
      </c>
      <c r="E71" s="4">
        <v>804.81</v>
      </c>
      <c r="F71" s="4">
        <v>1</v>
      </c>
      <c r="G71" s="4">
        <v>0.05</v>
      </c>
      <c r="H71" s="5">
        <v>45502</v>
      </c>
      <c r="I71" s="6">
        <v>344.06</v>
      </c>
      <c r="J71" s="4" t="str">
        <f>TEXT(Table1[[#This Row],[Order_Date]],"MMM")</f>
        <v>Jul</v>
      </c>
      <c r="K71" s="14"/>
    </row>
    <row r="72" spans="1:11" ht="15" thickBot="1" x14ac:dyDescent="0.35">
      <c r="A72" s="3" t="s">
        <v>24</v>
      </c>
      <c r="B72" s="4" t="s">
        <v>57</v>
      </c>
      <c r="C72" s="4" t="s">
        <v>36</v>
      </c>
      <c r="D72" s="4" t="s">
        <v>23</v>
      </c>
      <c r="E72" s="4">
        <v>608.66</v>
      </c>
      <c r="F72" s="4">
        <v>1</v>
      </c>
      <c r="G72" s="4">
        <v>0.05</v>
      </c>
      <c r="H72" s="5">
        <v>45503</v>
      </c>
      <c r="I72" s="6">
        <v>144.56</v>
      </c>
      <c r="J72" s="4" t="str">
        <f>TEXT(Table1[[#This Row],[Order_Date]],"MMM")</f>
        <v>Jul</v>
      </c>
      <c r="K72" s="14"/>
    </row>
    <row r="73" spans="1:11" ht="15" thickBot="1" x14ac:dyDescent="0.35">
      <c r="A73" s="3" t="s">
        <v>70</v>
      </c>
      <c r="B73" s="4" t="s">
        <v>71</v>
      </c>
      <c r="C73" s="4" t="s">
        <v>22</v>
      </c>
      <c r="D73" s="4" t="s">
        <v>41</v>
      </c>
      <c r="E73" s="4">
        <v>981.2</v>
      </c>
      <c r="F73" s="4">
        <v>19</v>
      </c>
      <c r="G73" s="4">
        <v>0</v>
      </c>
      <c r="H73" s="5">
        <v>45504</v>
      </c>
      <c r="I73" s="6">
        <v>441.54</v>
      </c>
      <c r="J73" s="4" t="str">
        <f>TEXT(Table1[[#This Row],[Order_Date]],"MMM")</f>
        <v>Jul</v>
      </c>
      <c r="K73" s="14"/>
    </row>
    <row r="74" spans="1:11" ht="15" thickBot="1" x14ac:dyDescent="0.35">
      <c r="A74" s="3" t="s">
        <v>72</v>
      </c>
      <c r="B74" s="4" t="s">
        <v>57</v>
      </c>
      <c r="C74" s="4" t="s">
        <v>20</v>
      </c>
      <c r="D74" s="4" t="s">
        <v>23</v>
      </c>
      <c r="E74" s="4">
        <v>539.77</v>
      </c>
      <c r="F74" s="4">
        <v>10</v>
      </c>
      <c r="G74" s="4">
        <v>0.15</v>
      </c>
      <c r="H74" s="5">
        <v>45509</v>
      </c>
      <c r="I74" s="6">
        <v>114.7</v>
      </c>
      <c r="J74" s="4" t="str">
        <f>TEXT(Table1[[#This Row],[Order_Date]],"MMM")</f>
        <v>Aug</v>
      </c>
      <c r="K74" s="14"/>
    </row>
    <row r="75" spans="1:11" ht="15" thickBot="1" x14ac:dyDescent="0.35">
      <c r="A75" s="3" t="s">
        <v>15</v>
      </c>
      <c r="B75" s="4" t="s">
        <v>73</v>
      </c>
      <c r="C75" s="4" t="s">
        <v>22</v>
      </c>
      <c r="D75" s="4" t="s">
        <v>14</v>
      </c>
      <c r="E75" s="4">
        <v>804.45</v>
      </c>
      <c r="F75" s="4">
        <v>5</v>
      </c>
      <c r="G75" s="4">
        <v>0.2</v>
      </c>
      <c r="H75" s="5">
        <v>45509</v>
      </c>
      <c r="I75" s="6">
        <v>257.42</v>
      </c>
      <c r="J75" s="4" t="str">
        <f>TEXT(Table1[[#This Row],[Order_Date]],"MMM")</f>
        <v>Aug</v>
      </c>
      <c r="K75" s="14"/>
    </row>
    <row r="76" spans="1:11" ht="15" thickBot="1" x14ac:dyDescent="0.35">
      <c r="A76" s="3" t="s">
        <v>72</v>
      </c>
      <c r="B76" s="4" t="s">
        <v>40</v>
      </c>
      <c r="C76" s="4" t="s">
        <v>13</v>
      </c>
      <c r="D76" s="4" t="s">
        <v>23</v>
      </c>
      <c r="E76" s="4">
        <v>1526.6</v>
      </c>
      <c r="F76" s="4">
        <v>13</v>
      </c>
      <c r="G76" s="4">
        <v>0.2</v>
      </c>
      <c r="H76" s="5">
        <v>45512</v>
      </c>
      <c r="I76" s="6">
        <v>305.32</v>
      </c>
      <c r="J76" s="4" t="str">
        <f>TEXT(Table1[[#This Row],[Order_Date]],"MMM")</f>
        <v>Aug</v>
      </c>
      <c r="K76" s="14"/>
    </row>
    <row r="77" spans="1:11" ht="15" thickBot="1" x14ac:dyDescent="0.35">
      <c r="A77" s="3" t="s">
        <v>15</v>
      </c>
      <c r="B77" s="4" t="s">
        <v>31</v>
      </c>
      <c r="C77" s="4" t="s">
        <v>13</v>
      </c>
      <c r="D77" s="4" t="s">
        <v>23</v>
      </c>
      <c r="E77" s="4">
        <v>1215.26</v>
      </c>
      <c r="F77" s="4">
        <v>5</v>
      </c>
      <c r="G77" s="4">
        <v>0.15</v>
      </c>
      <c r="H77" s="5">
        <v>45513</v>
      </c>
      <c r="I77" s="6">
        <v>258.24</v>
      </c>
      <c r="J77" s="4" t="str">
        <f>TEXT(Table1[[#This Row],[Order_Date]],"MMM")</f>
        <v>Aug</v>
      </c>
      <c r="K77" s="14"/>
    </row>
    <row r="78" spans="1:11" ht="15" thickBot="1" x14ac:dyDescent="0.35">
      <c r="A78" s="3" t="s">
        <v>21</v>
      </c>
      <c r="B78" s="4" t="s">
        <v>55</v>
      </c>
      <c r="C78" s="4" t="s">
        <v>36</v>
      </c>
      <c r="D78" s="4" t="s">
        <v>29</v>
      </c>
      <c r="E78" s="4">
        <v>1261.3399999999999</v>
      </c>
      <c r="F78" s="4">
        <v>3</v>
      </c>
      <c r="G78" s="4">
        <v>0</v>
      </c>
      <c r="H78" s="5">
        <v>45519</v>
      </c>
      <c r="I78" s="6">
        <v>441.47</v>
      </c>
      <c r="J78" s="4" t="str">
        <f>TEXT(Table1[[#This Row],[Order_Date]],"MMM")</f>
        <v>Aug</v>
      </c>
      <c r="K78" s="14"/>
    </row>
    <row r="79" spans="1:11" ht="15" thickBot="1" x14ac:dyDescent="0.35">
      <c r="A79" s="3" t="s">
        <v>74</v>
      </c>
      <c r="B79" s="4" t="s">
        <v>47</v>
      </c>
      <c r="C79" s="4" t="s">
        <v>26</v>
      </c>
      <c r="D79" s="4" t="s">
        <v>29</v>
      </c>
      <c r="E79" s="4">
        <v>518.07000000000005</v>
      </c>
      <c r="F79" s="4">
        <v>7</v>
      </c>
      <c r="G79" s="4">
        <v>0.05</v>
      </c>
      <c r="H79" s="5">
        <v>45522</v>
      </c>
      <c r="I79" s="6">
        <v>172.26</v>
      </c>
      <c r="J79" s="4" t="str">
        <f>TEXT(Table1[[#This Row],[Order_Date]],"MMM")</f>
        <v>Aug</v>
      </c>
      <c r="K79" s="14"/>
    </row>
    <row r="80" spans="1:11" ht="15" thickBot="1" x14ac:dyDescent="0.35">
      <c r="A80" s="3" t="s">
        <v>32</v>
      </c>
      <c r="B80" s="4" t="s">
        <v>31</v>
      </c>
      <c r="C80" s="4" t="s">
        <v>13</v>
      </c>
      <c r="D80" s="4" t="s">
        <v>41</v>
      </c>
      <c r="E80" s="4">
        <v>1111.3399999999999</v>
      </c>
      <c r="F80" s="4">
        <v>1</v>
      </c>
      <c r="G80" s="4">
        <v>0</v>
      </c>
      <c r="H80" s="5">
        <v>45523</v>
      </c>
      <c r="I80" s="6">
        <v>500.1</v>
      </c>
      <c r="J80" s="4" t="str">
        <f>TEXT(Table1[[#This Row],[Order_Date]],"MMM")</f>
        <v>Aug</v>
      </c>
      <c r="K80" s="14"/>
    </row>
    <row r="81" spans="1:11" ht="15" thickBot="1" x14ac:dyDescent="0.35">
      <c r="A81" s="3" t="s">
        <v>24</v>
      </c>
      <c r="B81" s="4" t="s">
        <v>33</v>
      </c>
      <c r="C81" s="4" t="s">
        <v>20</v>
      </c>
      <c r="D81" s="4" t="s">
        <v>17</v>
      </c>
      <c r="E81" s="4">
        <v>1291.47</v>
      </c>
      <c r="F81" s="4">
        <v>18</v>
      </c>
      <c r="G81" s="4">
        <v>0.1</v>
      </c>
      <c r="H81" s="5">
        <v>45526</v>
      </c>
      <c r="I81" s="6">
        <v>581.16</v>
      </c>
      <c r="J81" s="4" t="str">
        <f>TEXT(Table1[[#This Row],[Order_Date]],"MMM")</f>
        <v>Aug</v>
      </c>
      <c r="K81" s="14"/>
    </row>
    <row r="82" spans="1:11" ht="15" thickBot="1" x14ac:dyDescent="0.35">
      <c r="A82" s="3" t="s">
        <v>27</v>
      </c>
      <c r="B82" s="4" t="s">
        <v>57</v>
      </c>
      <c r="C82" s="4" t="s">
        <v>26</v>
      </c>
      <c r="D82" s="4" t="s">
        <v>14</v>
      </c>
      <c r="E82" s="4">
        <v>679.71</v>
      </c>
      <c r="F82" s="4">
        <v>19</v>
      </c>
      <c r="G82" s="4">
        <v>0</v>
      </c>
      <c r="H82" s="5">
        <v>45534</v>
      </c>
      <c r="I82" s="6">
        <v>271.88</v>
      </c>
      <c r="J82" s="4" t="str">
        <f>TEXT(Table1[[#This Row],[Order_Date]],"MMM")</f>
        <v>Aug</v>
      </c>
      <c r="K82" s="14"/>
    </row>
    <row r="83" spans="1:11" ht="15" thickBot="1" x14ac:dyDescent="0.35">
      <c r="A83" s="3" t="s">
        <v>70</v>
      </c>
      <c r="B83" s="4" t="s">
        <v>35</v>
      </c>
      <c r="C83" s="4" t="s">
        <v>20</v>
      </c>
      <c r="D83" s="4" t="s">
        <v>29</v>
      </c>
      <c r="E83" s="4">
        <v>1143.69</v>
      </c>
      <c r="F83" s="4">
        <v>17</v>
      </c>
      <c r="G83" s="4">
        <v>0</v>
      </c>
      <c r="H83" s="5">
        <v>45534</v>
      </c>
      <c r="I83" s="6">
        <v>400.29</v>
      </c>
      <c r="J83" s="4" t="str">
        <f>TEXT(Table1[[#This Row],[Order_Date]],"MMM")</f>
        <v>Aug</v>
      </c>
      <c r="K83" s="14"/>
    </row>
    <row r="84" spans="1:11" ht="15" thickBot="1" x14ac:dyDescent="0.35">
      <c r="A84" s="3" t="s">
        <v>54</v>
      </c>
      <c r="B84" s="4" t="s">
        <v>52</v>
      </c>
      <c r="C84" s="4" t="s">
        <v>36</v>
      </c>
      <c r="D84" s="4" t="s">
        <v>23</v>
      </c>
      <c r="E84" s="4">
        <v>790.08</v>
      </c>
      <c r="F84" s="4">
        <v>7</v>
      </c>
      <c r="G84" s="4">
        <v>0.1</v>
      </c>
      <c r="H84" s="5">
        <v>45536</v>
      </c>
      <c r="I84" s="6">
        <v>177.77</v>
      </c>
      <c r="J84" s="4" t="str">
        <f>TEXT(Table1[[#This Row],[Order_Date]],"MMM")</f>
        <v>Sep</v>
      </c>
      <c r="K84" s="14"/>
    </row>
    <row r="85" spans="1:11" ht="15" thickBot="1" x14ac:dyDescent="0.35">
      <c r="A85" s="3" t="s">
        <v>21</v>
      </c>
      <c r="B85" s="4" t="s">
        <v>50</v>
      </c>
      <c r="C85" s="4" t="s">
        <v>36</v>
      </c>
      <c r="D85" s="4" t="s">
        <v>14</v>
      </c>
      <c r="E85" s="4">
        <v>1070.68</v>
      </c>
      <c r="F85" s="4">
        <v>7</v>
      </c>
      <c r="G85" s="4">
        <v>0.05</v>
      </c>
      <c r="H85" s="5">
        <v>45536</v>
      </c>
      <c r="I85" s="6">
        <v>406.86</v>
      </c>
      <c r="J85" s="4" t="str">
        <f>TEXT(Table1[[#This Row],[Order_Date]],"MMM")</f>
        <v>Sep</v>
      </c>
      <c r="K85" s="14"/>
    </row>
    <row r="86" spans="1:11" ht="15" thickBot="1" x14ac:dyDescent="0.35">
      <c r="A86" s="3" t="s">
        <v>60</v>
      </c>
      <c r="B86" s="4" t="s">
        <v>38</v>
      </c>
      <c r="C86" s="4" t="s">
        <v>13</v>
      </c>
      <c r="D86" s="4" t="s">
        <v>17</v>
      </c>
      <c r="E86" s="4">
        <v>1168.8900000000001</v>
      </c>
      <c r="F86" s="4">
        <v>4</v>
      </c>
      <c r="G86" s="4">
        <v>0.1</v>
      </c>
      <c r="H86" s="5">
        <v>45544</v>
      </c>
      <c r="I86" s="6">
        <v>526</v>
      </c>
      <c r="J86" s="4" t="str">
        <f>TEXT(Table1[[#This Row],[Order_Date]],"MMM")</f>
        <v>Sep</v>
      </c>
      <c r="K86" s="14"/>
    </row>
    <row r="87" spans="1:11" ht="15" thickBot="1" x14ac:dyDescent="0.35">
      <c r="A87" s="3" t="s">
        <v>69</v>
      </c>
      <c r="B87" s="4" t="s">
        <v>12</v>
      </c>
      <c r="C87" s="4" t="s">
        <v>22</v>
      </c>
      <c r="D87" s="4" t="s">
        <v>23</v>
      </c>
      <c r="E87" s="4">
        <v>1335.87</v>
      </c>
      <c r="F87" s="4">
        <v>17</v>
      </c>
      <c r="G87" s="4">
        <v>0</v>
      </c>
      <c r="H87" s="5">
        <v>45544</v>
      </c>
      <c r="I87" s="6">
        <v>333.97</v>
      </c>
      <c r="J87" s="4" t="str">
        <f>TEXT(Table1[[#This Row],[Order_Date]],"MMM")</f>
        <v>Sep</v>
      </c>
      <c r="K87" s="14"/>
    </row>
    <row r="88" spans="1:11" ht="15" thickBot="1" x14ac:dyDescent="0.35">
      <c r="A88" s="3" t="s">
        <v>42</v>
      </c>
      <c r="B88" s="4" t="s">
        <v>57</v>
      </c>
      <c r="C88" s="4" t="s">
        <v>20</v>
      </c>
      <c r="D88" s="4" t="s">
        <v>29</v>
      </c>
      <c r="E88" s="4">
        <v>873.7</v>
      </c>
      <c r="F88" s="4">
        <v>9</v>
      </c>
      <c r="G88" s="4">
        <v>0</v>
      </c>
      <c r="H88" s="5">
        <v>45546</v>
      </c>
      <c r="I88" s="6">
        <v>305.8</v>
      </c>
      <c r="J88" s="4" t="str">
        <f>TEXT(Table1[[#This Row],[Order_Date]],"MMM")</f>
        <v>Sep</v>
      </c>
      <c r="K88" s="14"/>
    </row>
    <row r="89" spans="1:11" ht="15" thickBot="1" x14ac:dyDescent="0.35">
      <c r="A89" s="3" t="s">
        <v>74</v>
      </c>
      <c r="B89" s="4" t="s">
        <v>66</v>
      </c>
      <c r="C89" s="4" t="s">
        <v>13</v>
      </c>
      <c r="D89" s="4" t="s">
        <v>41</v>
      </c>
      <c r="E89" s="4">
        <v>1443.98</v>
      </c>
      <c r="F89" s="4">
        <v>19</v>
      </c>
      <c r="G89" s="4">
        <v>0</v>
      </c>
      <c r="H89" s="5">
        <v>45547</v>
      </c>
      <c r="I89" s="6">
        <v>649.79</v>
      </c>
      <c r="J89" s="4" t="str">
        <f>TEXT(Table1[[#This Row],[Order_Date]],"MMM")</f>
        <v>Sep</v>
      </c>
      <c r="K89" s="14"/>
    </row>
    <row r="90" spans="1:11" ht="15" thickBot="1" x14ac:dyDescent="0.35">
      <c r="A90" s="3" t="s">
        <v>42</v>
      </c>
      <c r="B90" s="4" t="s">
        <v>25</v>
      </c>
      <c r="C90" s="4" t="s">
        <v>20</v>
      </c>
      <c r="D90" s="4" t="s">
        <v>41</v>
      </c>
      <c r="E90" s="4">
        <v>1154.33</v>
      </c>
      <c r="F90" s="4">
        <v>11</v>
      </c>
      <c r="G90" s="4">
        <v>0.15</v>
      </c>
      <c r="H90" s="5">
        <v>45549</v>
      </c>
      <c r="I90" s="6">
        <v>441.53</v>
      </c>
      <c r="J90" s="4" t="str">
        <f>TEXT(Table1[[#This Row],[Order_Date]],"MMM")</f>
        <v>Sep</v>
      </c>
      <c r="K90" s="14"/>
    </row>
    <row r="91" spans="1:11" ht="15" thickBot="1" x14ac:dyDescent="0.35">
      <c r="A91" s="3" t="s">
        <v>51</v>
      </c>
      <c r="B91" s="4" t="s">
        <v>52</v>
      </c>
      <c r="C91" s="4" t="s">
        <v>22</v>
      </c>
      <c r="D91" s="4" t="s">
        <v>14</v>
      </c>
      <c r="E91" s="4">
        <v>1264.49</v>
      </c>
      <c r="F91" s="4">
        <v>16</v>
      </c>
      <c r="G91" s="4">
        <v>0.05</v>
      </c>
      <c r="H91" s="5">
        <v>45549</v>
      </c>
      <c r="I91" s="6">
        <v>480.51</v>
      </c>
      <c r="J91" s="4" t="str">
        <f>TEXT(Table1[[#This Row],[Order_Date]],"MMM")</f>
        <v>Sep</v>
      </c>
      <c r="K91" s="14"/>
    </row>
    <row r="92" spans="1:11" ht="15" thickBot="1" x14ac:dyDescent="0.35">
      <c r="A92" s="3" t="s">
        <v>27</v>
      </c>
      <c r="B92" s="4" t="s">
        <v>68</v>
      </c>
      <c r="C92" s="4" t="s">
        <v>13</v>
      </c>
      <c r="D92" s="4" t="s">
        <v>29</v>
      </c>
      <c r="E92" s="4">
        <v>1101.55</v>
      </c>
      <c r="F92" s="4">
        <v>4</v>
      </c>
      <c r="G92" s="4">
        <v>0.1</v>
      </c>
      <c r="H92" s="5">
        <v>45551</v>
      </c>
      <c r="I92" s="6">
        <v>346.99</v>
      </c>
      <c r="J92" s="4" t="str">
        <f>TEXT(Table1[[#This Row],[Order_Date]],"MMM")</f>
        <v>Sep</v>
      </c>
      <c r="K92" s="14"/>
    </row>
    <row r="93" spans="1:11" ht="15" thickBot="1" x14ac:dyDescent="0.35">
      <c r="A93" s="3" t="s">
        <v>75</v>
      </c>
      <c r="B93" s="4" t="s">
        <v>16</v>
      </c>
      <c r="C93" s="4" t="s">
        <v>22</v>
      </c>
      <c r="D93" s="4" t="s">
        <v>29</v>
      </c>
      <c r="E93" s="4">
        <v>727.73</v>
      </c>
      <c r="F93" s="4">
        <v>1</v>
      </c>
      <c r="G93" s="4">
        <v>0.1</v>
      </c>
      <c r="H93" s="5">
        <v>45552</v>
      </c>
      <c r="I93" s="6">
        <v>229.23</v>
      </c>
      <c r="J93" s="4" t="str">
        <f>TEXT(Table1[[#This Row],[Order_Date]],"MMM")</f>
        <v>Sep</v>
      </c>
      <c r="K93" s="14"/>
    </row>
    <row r="94" spans="1:11" ht="15" thickBot="1" x14ac:dyDescent="0.35">
      <c r="A94" s="3" t="s">
        <v>76</v>
      </c>
      <c r="B94" s="4" t="s">
        <v>40</v>
      </c>
      <c r="C94" s="4" t="s">
        <v>20</v>
      </c>
      <c r="D94" s="4" t="s">
        <v>41</v>
      </c>
      <c r="E94" s="4">
        <v>875.41</v>
      </c>
      <c r="F94" s="4">
        <v>13</v>
      </c>
      <c r="G94" s="4">
        <v>0.15</v>
      </c>
      <c r="H94" s="5">
        <v>45552</v>
      </c>
      <c r="I94" s="6">
        <v>334.84</v>
      </c>
      <c r="J94" s="4" t="str">
        <f>TEXT(Table1[[#This Row],[Order_Date]],"MMM")</f>
        <v>Sep</v>
      </c>
      <c r="K94" s="14"/>
    </row>
    <row r="95" spans="1:11" ht="15" thickBot="1" x14ac:dyDescent="0.35">
      <c r="A95" s="3" t="s">
        <v>69</v>
      </c>
      <c r="B95" s="4" t="s">
        <v>25</v>
      </c>
      <c r="C95" s="4" t="s">
        <v>13</v>
      </c>
      <c r="D95" s="4" t="s">
        <v>23</v>
      </c>
      <c r="E95" s="4">
        <v>1158.94</v>
      </c>
      <c r="F95" s="4">
        <v>19</v>
      </c>
      <c r="G95" s="4">
        <v>0.2</v>
      </c>
      <c r="H95" s="5">
        <v>45553</v>
      </c>
      <c r="I95" s="6">
        <v>231.79</v>
      </c>
      <c r="J95" s="4" t="str">
        <f>TEXT(Table1[[#This Row],[Order_Date]],"MMM")</f>
        <v>Sep</v>
      </c>
      <c r="K95" s="14"/>
    </row>
    <row r="96" spans="1:11" ht="15" thickBot="1" x14ac:dyDescent="0.35">
      <c r="A96" s="3" t="s">
        <v>77</v>
      </c>
      <c r="B96" s="4" t="s">
        <v>49</v>
      </c>
      <c r="C96" s="4" t="s">
        <v>22</v>
      </c>
      <c r="D96" s="4" t="s">
        <v>14</v>
      </c>
      <c r="E96" s="4">
        <v>966.3</v>
      </c>
      <c r="F96" s="4">
        <v>2</v>
      </c>
      <c r="G96" s="4">
        <v>0.15</v>
      </c>
      <c r="H96" s="5">
        <v>45557</v>
      </c>
      <c r="I96" s="6">
        <v>328.54</v>
      </c>
      <c r="J96" s="4" t="str">
        <f>TEXT(Table1[[#This Row],[Order_Date]],"MMM")</f>
        <v>Sep</v>
      </c>
      <c r="K96" s="14"/>
    </row>
    <row r="97" spans="1:11" ht="15" thickBot="1" x14ac:dyDescent="0.35">
      <c r="A97" s="3" t="s">
        <v>70</v>
      </c>
      <c r="B97" s="4" t="s">
        <v>19</v>
      </c>
      <c r="C97" s="4" t="s">
        <v>22</v>
      </c>
      <c r="D97" s="4" t="s">
        <v>14</v>
      </c>
      <c r="E97" s="4">
        <v>917.48</v>
      </c>
      <c r="F97" s="4">
        <v>6</v>
      </c>
      <c r="G97" s="4">
        <v>0</v>
      </c>
      <c r="H97" s="5">
        <v>45558</v>
      </c>
      <c r="I97" s="6">
        <v>366.99</v>
      </c>
      <c r="J97" s="4" t="str">
        <f>TEXT(Table1[[#This Row],[Order_Date]],"MMM")</f>
        <v>Sep</v>
      </c>
      <c r="K97" s="14"/>
    </row>
    <row r="98" spans="1:11" ht="15" thickBot="1" x14ac:dyDescent="0.35">
      <c r="A98" s="3" t="s">
        <v>43</v>
      </c>
      <c r="B98" s="4" t="s">
        <v>63</v>
      </c>
      <c r="C98" s="4" t="s">
        <v>13</v>
      </c>
      <c r="D98" s="4" t="s">
        <v>29</v>
      </c>
      <c r="E98" s="4">
        <v>1172.97</v>
      </c>
      <c r="F98" s="4">
        <v>7</v>
      </c>
      <c r="G98" s="4">
        <v>0.15</v>
      </c>
      <c r="H98" s="5">
        <v>45559</v>
      </c>
      <c r="I98" s="6">
        <v>348.96</v>
      </c>
      <c r="J98" s="4" t="str">
        <f>TEXT(Table1[[#This Row],[Order_Date]],"MMM")</f>
        <v>Sep</v>
      </c>
      <c r="K98" s="14"/>
    </row>
    <row r="99" spans="1:11" ht="15" thickBot="1" x14ac:dyDescent="0.35">
      <c r="A99" s="3" t="s">
        <v>59</v>
      </c>
      <c r="B99" s="4" t="s">
        <v>25</v>
      </c>
      <c r="C99" s="4" t="s">
        <v>26</v>
      </c>
      <c r="D99" s="4" t="s">
        <v>17</v>
      </c>
      <c r="E99" s="4">
        <v>1205.82</v>
      </c>
      <c r="F99" s="4">
        <v>11</v>
      </c>
      <c r="G99" s="4">
        <v>0.1</v>
      </c>
      <c r="H99" s="5">
        <v>45559</v>
      </c>
      <c r="I99" s="6">
        <v>542.62</v>
      </c>
      <c r="J99" s="4" t="str">
        <f>TEXT(Table1[[#This Row],[Order_Date]],"MMM")</f>
        <v>Sep</v>
      </c>
      <c r="K99" s="14"/>
    </row>
    <row r="100" spans="1:11" ht="15" thickBot="1" x14ac:dyDescent="0.35">
      <c r="A100" s="3" t="s">
        <v>18</v>
      </c>
      <c r="B100" s="4" t="s">
        <v>66</v>
      </c>
      <c r="C100" s="4" t="s">
        <v>13</v>
      </c>
      <c r="D100" s="4" t="s">
        <v>41</v>
      </c>
      <c r="E100" s="4">
        <v>826.93</v>
      </c>
      <c r="F100" s="4">
        <v>10</v>
      </c>
      <c r="G100" s="4">
        <v>0.2</v>
      </c>
      <c r="H100" s="5">
        <v>45564</v>
      </c>
      <c r="I100" s="6">
        <v>297.69</v>
      </c>
      <c r="J100" s="4" t="str">
        <f>TEXT(Table1[[#This Row],[Order_Date]],"MMM")</f>
        <v>Sep</v>
      </c>
      <c r="K100" s="14"/>
    </row>
    <row r="101" spans="1:11" ht="15" thickBot="1" x14ac:dyDescent="0.35">
      <c r="A101" s="3" t="s">
        <v>69</v>
      </c>
      <c r="B101" s="4" t="s">
        <v>25</v>
      </c>
      <c r="C101" s="4" t="s">
        <v>36</v>
      </c>
      <c r="D101" s="4" t="s">
        <v>17</v>
      </c>
      <c r="E101" s="4">
        <v>902.19</v>
      </c>
      <c r="F101" s="4">
        <v>12</v>
      </c>
      <c r="G101" s="4">
        <v>0</v>
      </c>
      <c r="H101" s="5">
        <v>45564</v>
      </c>
      <c r="I101" s="6">
        <v>451.1</v>
      </c>
      <c r="J101" s="4" t="str">
        <f>TEXT(Table1[[#This Row],[Order_Date]],"MMM")</f>
        <v>Sep</v>
      </c>
      <c r="K101" s="14"/>
    </row>
    <row r="102" spans="1:11" ht="15" thickBot="1" x14ac:dyDescent="0.35">
      <c r="A102" s="3" t="s">
        <v>76</v>
      </c>
      <c r="B102" s="4" t="s">
        <v>40</v>
      </c>
      <c r="C102" s="4" t="s">
        <v>26</v>
      </c>
      <c r="D102" s="4" t="s">
        <v>14</v>
      </c>
      <c r="E102" s="4">
        <v>585.97</v>
      </c>
      <c r="F102" s="4">
        <v>17</v>
      </c>
      <c r="G102" s="4">
        <v>0.1</v>
      </c>
      <c r="H102" s="5">
        <v>45565</v>
      </c>
      <c r="I102" s="6">
        <v>210.95</v>
      </c>
      <c r="J102" s="4" t="str">
        <f>TEXT(Table1[[#This Row],[Order_Date]],"MMM")</f>
        <v>Sep</v>
      </c>
      <c r="K102" s="14"/>
    </row>
    <row r="103" spans="1:11" ht="15" thickBot="1" x14ac:dyDescent="0.35">
      <c r="A103" s="3" t="s">
        <v>62</v>
      </c>
      <c r="B103" s="4" t="s">
        <v>28</v>
      </c>
      <c r="C103" s="4" t="s">
        <v>26</v>
      </c>
      <c r="D103" s="4" t="s">
        <v>17</v>
      </c>
      <c r="E103" s="4">
        <v>990.19</v>
      </c>
      <c r="F103" s="4">
        <v>8</v>
      </c>
      <c r="G103" s="4">
        <v>0.1</v>
      </c>
      <c r="H103" s="5">
        <v>45565</v>
      </c>
      <c r="I103" s="6">
        <v>445.59</v>
      </c>
      <c r="J103" s="4" t="str">
        <f>TEXT(Table1[[#This Row],[Order_Date]],"MMM")</f>
        <v>Sep</v>
      </c>
      <c r="K103" s="14"/>
    </row>
    <row r="104" spans="1:11" ht="15" thickBot="1" x14ac:dyDescent="0.35">
      <c r="A104" s="3" t="s">
        <v>46</v>
      </c>
      <c r="B104" s="4" t="s">
        <v>58</v>
      </c>
      <c r="C104" s="4" t="s">
        <v>36</v>
      </c>
      <c r="D104" s="4" t="s">
        <v>23</v>
      </c>
      <c r="E104" s="4">
        <v>1014.09</v>
      </c>
      <c r="F104" s="4">
        <v>13</v>
      </c>
      <c r="G104" s="4">
        <v>0.2</v>
      </c>
      <c r="H104" s="5">
        <v>45567</v>
      </c>
      <c r="I104" s="6">
        <v>202.82</v>
      </c>
      <c r="J104" s="4" t="str">
        <f>TEXT(Table1[[#This Row],[Order_Date]],"MMM")</f>
        <v>Oct</v>
      </c>
      <c r="K104" s="14"/>
    </row>
    <row r="105" spans="1:11" ht="15" thickBot="1" x14ac:dyDescent="0.35">
      <c r="A105" s="3" t="s">
        <v>15</v>
      </c>
      <c r="B105" s="4" t="s">
        <v>50</v>
      </c>
      <c r="C105" s="4" t="s">
        <v>26</v>
      </c>
      <c r="D105" s="4" t="s">
        <v>23</v>
      </c>
      <c r="E105" s="4">
        <v>925.29</v>
      </c>
      <c r="F105" s="4">
        <v>17</v>
      </c>
      <c r="G105" s="4">
        <v>0</v>
      </c>
      <c r="H105" s="5">
        <v>45570</v>
      </c>
      <c r="I105" s="6">
        <v>231.32</v>
      </c>
      <c r="J105" s="4" t="str">
        <f>TEXT(Table1[[#This Row],[Order_Date]],"MMM")</f>
        <v>Oct</v>
      </c>
      <c r="K105" s="14"/>
    </row>
    <row r="106" spans="1:11" ht="15" thickBot="1" x14ac:dyDescent="0.35">
      <c r="A106" s="3" t="s">
        <v>56</v>
      </c>
      <c r="B106" s="4" t="s">
        <v>49</v>
      </c>
      <c r="C106" s="4" t="s">
        <v>20</v>
      </c>
      <c r="D106" s="4" t="s">
        <v>29</v>
      </c>
      <c r="E106" s="4">
        <v>1286.54</v>
      </c>
      <c r="F106" s="4">
        <v>8</v>
      </c>
      <c r="G106" s="4">
        <v>0</v>
      </c>
      <c r="H106" s="5">
        <v>45575</v>
      </c>
      <c r="I106" s="6">
        <v>450.29</v>
      </c>
      <c r="J106" s="4" t="str">
        <f>TEXT(Table1[[#This Row],[Order_Date]],"MMM")</f>
        <v>Oct</v>
      </c>
      <c r="K106" s="14"/>
    </row>
    <row r="107" spans="1:11" ht="15" thickBot="1" x14ac:dyDescent="0.35">
      <c r="A107" s="3" t="s">
        <v>39</v>
      </c>
      <c r="B107" s="4" t="s">
        <v>66</v>
      </c>
      <c r="C107" s="4" t="s">
        <v>22</v>
      </c>
      <c r="D107" s="4" t="s">
        <v>14</v>
      </c>
      <c r="E107" s="4">
        <v>961.62</v>
      </c>
      <c r="F107" s="4">
        <v>8</v>
      </c>
      <c r="G107" s="4">
        <v>0.2</v>
      </c>
      <c r="H107" s="5">
        <v>45577</v>
      </c>
      <c r="I107" s="6">
        <v>307.72000000000003</v>
      </c>
      <c r="J107" s="4" t="str">
        <f>TEXT(Table1[[#This Row],[Order_Date]],"MMM")</f>
        <v>Oct</v>
      </c>
      <c r="K107" s="14"/>
    </row>
    <row r="108" spans="1:11" ht="15" thickBot="1" x14ac:dyDescent="0.35">
      <c r="A108" s="3" t="s">
        <v>46</v>
      </c>
      <c r="B108" s="4" t="s">
        <v>25</v>
      </c>
      <c r="C108" s="4" t="s">
        <v>20</v>
      </c>
      <c r="D108" s="4" t="s">
        <v>14</v>
      </c>
      <c r="E108" s="4">
        <v>1081.1400000000001</v>
      </c>
      <c r="F108" s="4">
        <v>19</v>
      </c>
      <c r="G108" s="4">
        <v>0.15</v>
      </c>
      <c r="H108" s="5">
        <v>45577</v>
      </c>
      <c r="I108" s="6">
        <v>367.59</v>
      </c>
      <c r="J108" s="4" t="str">
        <f>TEXT(Table1[[#This Row],[Order_Date]],"MMM")</f>
        <v>Oct</v>
      </c>
      <c r="K108" s="14"/>
    </row>
    <row r="109" spans="1:11" ht="15" thickBot="1" x14ac:dyDescent="0.35">
      <c r="A109" s="3" t="s">
        <v>60</v>
      </c>
      <c r="B109" s="4" t="s">
        <v>25</v>
      </c>
      <c r="C109" s="4" t="s">
        <v>13</v>
      </c>
      <c r="D109" s="4" t="s">
        <v>17</v>
      </c>
      <c r="E109" s="4">
        <v>1923.66</v>
      </c>
      <c r="F109" s="4">
        <v>9</v>
      </c>
      <c r="G109" s="4">
        <v>0.2</v>
      </c>
      <c r="H109" s="5">
        <v>45580</v>
      </c>
      <c r="I109" s="6">
        <v>769.46</v>
      </c>
      <c r="J109" s="4" t="str">
        <f>TEXT(Table1[[#This Row],[Order_Date]],"MMM")</f>
        <v>Oct</v>
      </c>
      <c r="K109" s="14"/>
    </row>
    <row r="110" spans="1:11" ht="15" thickBot="1" x14ac:dyDescent="0.35">
      <c r="A110" s="3" t="s">
        <v>56</v>
      </c>
      <c r="B110" s="4" t="s">
        <v>68</v>
      </c>
      <c r="C110" s="4" t="s">
        <v>36</v>
      </c>
      <c r="D110" s="4" t="s">
        <v>17</v>
      </c>
      <c r="E110" s="4">
        <v>728.71</v>
      </c>
      <c r="F110" s="4">
        <v>14</v>
      </c>
      <c r="G110" s="4">
        <v>0.1</v>
      </c>
      <c r="H110" s="5">
        <v>45581</v>
      </c>
      <c r="I110" s="6">
        <v>327.92</v>
      </c>
      <c r="J110" s="4" t="str">
        <f>TEXT(Table1[[#This Row],[Order_Date]],"MMM")</f>
        <v>Oct</v>
      </c>
      <c r="K110" s="14"/>
    </row>
    <row r="111" spans="1:11" ht="15" thickBot="1" x14ac:dyDescent="0.35">
      <c r="A111" s="3" t="s">
        <v>11</v>
      </c>
      <c r="B111" s="4" t="s">
        <v>35</v>
      </c>
      <c r="C111" s="4" t="s">
        <v>36</v>
      </c>
      <c r="D111" s="4" t="s">
        <v>17</v>
      </c>
      <c r="E111" s="4">
        <v>1301.8900000000001</v>
      </c>
      <c r="F111" s="4">
        <v>7</v>
      </c>
      <c r="G111" s="4">
        <v>0.15</v>
      </c>
      <c r="H111" s="5">
        <v>45581</v>
      </c>
      <c r="I111" s="6">
        <v>553.29999999999995</v>
      </c>
      <c r="J111" s="4" t="str">
        <f>TEXT(Table1[[#This Row],[Order_Date]],"MMM")</f>
        <v>Oct</v>
      </c>
      <c r="K111" s="14"/>
    </row>
    <row r="112" spans="1:11" ht="15" thickBot="1" x14ac:dyDescent="0.35">
      <c r="A112" s="3" t="s">
        <v>72</v>
      </c>
      <c r="B112" s="4" t="s">
        <v>68</v>
      </c>
      <c r="C112" s="4" t="s">
        <v>20</v>
      </c>
      <c r="D112" s="4" t="s">
        <v>14</v>
      </c>
      <c r="E112" s="4">
        <v>980.18</v>
      </c>
      <c r="F112" s="4">
        <v>16</v>
      </c>
      <c r="G112" s="4">
        <v>0.1</v>
      </c>
      <c r="H112" s="5">
        <v>45582</v>
      </c>
      <c r="I112" s="6">
        <v>352.86</v>
      </c>
      <c r="J112" s="4" t="str">
        <f>TEXT(Table1[[#This Row],[Order_Date]],"MMM")</f>
        <v>Oct</v>
      </c>
      <c r="K112" s="14"/>
    </row>
    <row r="113" spans="1:11" ht="15" thickBot="1" x14ac:dyDescent="0.35">
      <c r="A113" s="3" t="s">
        <v>76</v>
      </c>
      <c r="B113" s="4" t="s">
        <v>25</v>
      </c>
      <c r="C113" s="4" t="s">
        <v>13</v>
      </c>
      <c r="D113" s="4" t="s">
        <v>17</v>
      </c>
      <c r="E113" s="4">
        <v>697.57</v>
      </c>
      <c r="F113" s="4">
        <v>17</v>
      </c>
      <c r="G113" s="4">
        <v>0.1</v>
      </c>
      <c r="H113" s="5">
        <v>45584</v>
      </c>
      <c r="I113" s="6">
        <v>313.91000000000003</v>
      </c>
      <c r="J113" s="4" t="str">
        <f>TEXT(Table1[[#This Row],[Order_Date]],"MMM")</f>
        <v>Oct</v>
      </c>
      <c r="K113" s="14"/>
    </row>
    <row r="114" spans="1:11" ht="15" thickBot="1" x14ac:dyDescent="0.35">
      <c r="A114" s="3" t="s">
        <v>48</v>
      </c>
      <c r="B114" s="4" t="s">
        <v>73</v>
      </c>
      <c r="C114" s="4" t="s">
        <v>13</v>
      </c>
      <c r="D114" s="4" t="s">
        <v>29</v>
      </c>
      <c r="E114" s="4">
        <v>1193.6099999999999</v>
      </c>
      <c r="F114" s="4">
        <v>1</v>
      </c>
      <c r="G114" s="4">
        <v>0.15</v>
      </c>
      <c r="H114" s="5">
        <v>45584</v>
      </c>
      <c r="I114" s="6">
        <v>355.1</v>
      </c>
      <c r="J114" s="4" t="str">
        <f>TEXT(Table1[[#This Row],[Order_Date]],"MMM")</f>
        <v>Oct</v>
      </c>
      <c r="K114" s="14"/>
    </row>
    <row r="115" spans="1:11" ht="15" thickBot="1" x14ac:dyDescent="0.35">
      <c r="A115" s="3" t="s">
        <v>34</v>
      </c>
      <c r="B115" s="4" t="s">
        <v>40</v>
      </c>
      <c r="C115" s="4" t="s">
        <v>22</v>
      </c>
      <c r="D115" s="4" t="s">
        <v>23</v>
      </c>
      <c r="E115" s="4">
        <v>771.02</v>
      </c>
      <c r="F115" s="4">
        <v>1</v>
      </c>
      <c r="G115" s="4">
        <v>0</v>
      </c>
      <c r="H115" s="5">
        <v>45585</v>
      </c>
      <c r="I115" s="6">
        <v>192.76</v>
      </c>
      <c r="J115" s="4" t="str">
        <f>TEXT(Table1[[#This Row],[Order_Date]],"MMM")</f>
        <v>Oct</v>
      </c>
      <c r="K115" s="14"/>
    </row>
    <row r="116" spans="1:11" ht="15" thickBot="1" x14ac:dyDescent="0.35">
      <c r="A116" s="3" t="s">
        <v>69</v>
      </c>
      <c r="B116" s="4" t="s">
        <v>71</v>
      </c>
      <c r="C116" s="4" t="s">
        <v>26</v>
      </c>
      <c r="D116" s="4" t="s">
        <v>17</v>
      </c>
      <c r="E116" s="4">
        <v>661.09</v>
      </c>
      <c r="F116" s="4">
        <v>1</v>
      </c>
      <c r="G116" s="4">
        <v>0.2</v>
      </c>
      <c r="H116" s="5">
        <v>45593</v>
      </c>
      <c r="I116" s="6">
        <v>264.44</v>
      </c>
      <c r="J116" s="4" t="str">
        <f>TEXT(Table1[[#This Row],[Order_Date]],"MMM")</f>
        <v>Oct</v>
      </c>
      <c r="K116" s="14"/>
    </row>
    <row r="117" spans="1:11" ht="15" thickBot="1" x14ac:dyDescent="0.35">
      <c r="A117" s="3" t="s">
        <v>15</v>
      </c>
      <c r="B117" s="4" t="s">
        <v>57</v>
      </c>
      <c r="C117" s="4" t="s">
        <v>13</v>
      </c>
      <c r="D117" s="4" t="s">
        <v>23</v>
      </c>
      <c r="E117" s="4">
        <v>688.83</v>
      </c>
      <c r="F117" s="4">
        <v>15</v>
      </c>
      <c r="G117" s="4">
        <v>0</v>
      </c>
      <c r="H117" s="5">
        <v>45595</v>
      </c>
      <c r="I117" s="6">
        <v>172.21</v>
      </c>
      <c r="J117" s="4" t="str">
        <f>TEXT(Table1[[#This Row],[Order_Date]],"MMM")</f>
        <v>Oct</v>
      </c>
      <c r="K117" s="14"/>
    </row>
    <row r="118" spans="1:11" ht="15" thickBot="1" x14ac:dyDescent="0.35">
      <c r="A118" s="3" t="s">
        <v>75</v>
      </c>
      <c r="B118" s="4" t="s">
        <v>31</v>
      </c>
      <c r="C118" s="4" t="s">
        <v>36</v>
      </c>
      <c r="D118" s="4" t="s">
        <v>14</v>
      </c>
      <c r="E118" s="4">
        <v>1249.0999999999999</v>
      </c>
      <c r="F118" s="4">
        <v>4</v>
      </c>
      <c r="G118" s="4">
        <v>0.05</v>
      </c>
      <c r="H118" s="5">
        <v>45597</v>
      </c>
      <c r="I118" s="6">
        <v>474.66</v>
      </c>
      <c r="J118" s="4" t="str">
        <f>TEXT(Table1[[#This Row],[Order_Date]],"MMM")</f>
        <v>Nov</v>
      </c>
      <c r="K118" s="14"/>
    </row>
    <row r="119" spans="1:11" ht="15" thickBot="1" x14ac:dyDescent="0.35">
      <c r="A119" s="3" t="s">
        <v>46</v>
      </c>
      <c r="B119" s="4" t="s">
        <v>25</v>
      </c>
      <c r="C119" s="4" t="s">
        <v>20</v>
      </c>
      <c r="D119" s="4" t="s">
        <v>41</v>
      </c>
      <c r="E119" s="4">
        <v>1014.22</v>
      </c>
      <c r="F119" s="4">
        <v>14</v>
      </c>
      <c r="G119" s="4">
        <v>0.05</v>
      </c>
      <c r="H119" s="5">
        <v>45599</v>
      </c>
      <c r="I119" s="6">
        <v>433.58</v>
      </c>
      <c r="J119" s="4" t="str">
        <f>TEXT(Table1[[#This Row],[Order_Date]],"MMM")</f>
        <v>Nov</v>
      </c>
      <c r="K119" s="14"/>
    </row>
    <row r="120" spans="1:11" ht="15" thickBot="1" x14ac:dyDescent="0.35">
      <c r="A120" s="3" t="s">
        <v>56</v>
      </c>
      <c r="B120" s="4" t="s">
        <v>50</v>
      </c>
      <c r="C120" s="4" t="s">
        <v>20</v>
      </c>
      <c r="D120" s="4" t="s">
        <v>14</v>
      </c>
      <c r="E120" s="4">
        <v>1010.58</v>
      </c>
      <c r="F120" s="4">
        <v>2</v>
      </c>
      <c r="G120" s="4">
        <v>0.15</v>
      </c>
      <c r="H120" s="5">
        <v>45605</v>
      </c>
      <c r="I120" s="6">
        <v>343.6</v>
      </c>
      <c r="J120" s="4" t="str">
        <f>TEXT(Table1[[#This Row],[Order_Date]],"MMM")</f>
        <v>Nov</v>
      </c>
      <c r="K120" s="14"/>
    </row>
    <row r="121" spans="1:11" ht="15" thickBot="1" x14ac:dyDescent="0.35">
      <c r="A121" s="3" t="s">
        <v>32</v>
      </c>
      <c r="B121" s="4" t="s">
        <v>61</v>
      </c>
      <c r="C121" s="4" t="s">
        <v>26</v>
      </c>
      <c r="D121" s="4" t="s">
        <v>29</v>
      </c>
      <c r="E121" s="4">
        <v>957.29</v>
      </c>
      <c r="F121" s="4">
        <v>4</v>
      </c>
      <c r="G121" s="4">
        <v>0.05</v>
      </c>
      <c r="H121" s="5">
        <v>45605</v>
      </c>
      <c r="I121" s="6">
        <v>318.3</v>
      </c>
      <c r="J121" s="4" t="str">
        <f>TEXT(Table1[[#This Row],[Order_Date]],"MMM")</f>
        <v>Nov</v>
      </c>
      <c r="K121" s="14"/>
    </row>
    <row r="122" spans="1:11" ht="15" thickBot="1" x14ac:dyDescent="0.35">
      <c r="A122" s="3" t="s">
        <v>30</v>
      </c>
      <c r="B122" s="4" t="s">
        <v>47</v>
      </c>
      <c r="C122" s="4" t="s">
        <v>26</v>
      </c>
      <c r="D122" s="4" t="s">
        <v>29</v>
      </c>
      <c r="E122" s="4">
        <v>1077.92</v>
      </c>
      <c r="F122" s="4">
        <v>3</v>
      </c>
      <c r="G122" s="4">
        <v>0.05</v>
      </c>
      <c r="H122" s="5">
        <v>45608</v>
      </c>
      <c r="I122" s="6">
        <v>358.41</v>
      </c>
      <c r="J122" s="4" t="str">
        <f>TEXT(Table1[[#This Row],[Order_Date]],"MMM")</f>
        <v>Nov</v>
      </c>
      <c r="K122" s="14"/>
    </row>
    <row r="123" spans="1:11" ht="15" thickBot="1" x14ac:dyDescent="0.35">
      <c r="A123" s="3" t="s">
        <v>54</v>
      </c>
      <c r="B123" s="4" t="s">
        <v>52</v>
      </c>
      <c r="C123" s="4" t="s">
        <v>22</v>
      </c>
      <c r="D123" s="4" t="s">
        <v>17</v>
      </c>
      <c r="E123" s="4">
        <v>1163.01</v>
      </c>
      <c r="F123" s="4">
        <v>5</v>
      </c>
      <c r="G123" s="4">
        <v>0</v>
      </c>
      <c r="H123" s="5">
        <v>45611</v>
      </c>
      <c r="I123" s="6">
        <v>581.5</v>
      </c>
      <c r="J123" s="4" t="str">
        <f>TEXT(Table1[[#This Row],[Order_Date]],"MMM")</f>
        <v>Nov</v>
      </c>
      <c r="K123" s="14"/>
    </row>
    <row r="124" spans="1:11" ht="15" thickBot="1" x14ac:dyDescent="0.35">
      <c r="A124" s="3" t="s">
        <v>56</v>
      </c>
      <c r="B124" s="4" t="s">
        <v>47</v>
      </c>
      <c r="C124" s="4" t="s">
        <v>20</v>
      </c>
      <c r="D124" s="4" t="s">
        <v>41</v>
      </c>
      <c r="E124" s="4">
        <v>1014.56</v>
      </c>
      <c r="F124" s="4">
        <v>10</v>
      </c>
      <c r="G124" s="4">
        <v>0.1</v>
      </c>
      <c r="H124" s="5">
        <v>45612</v>
      </c>
      <c r="I124" s="6">
        <v>410.9</v>
      </c>
      <c r="J124" s="4" t="str">
        <f>TEXT(Table1[[#This Row],[Order_Date]],"MMM")</f>
        <v>Nov</v>
      </c>
      <c r="K124" s="14"/>
    </row>
    <row r="125" spans="1:11" ht="15" thickBot="1" x14ac:dyDescent="0.35">
      <c r="A125" s="3" t="s">
        <v>11</v>
      </c>
      <c r="B125" s="4" t="s">
        <v>19</v>
      </c>
      <c r="C125" s="4" t="s">
        <v>22</v>
      </c>
      <c r="D125" s="4" t="s">
        <v>23</v>
      </c>
      <c r="E125" s="4">
        <v>718.04</v>
      </c>
      <c r="F125" s="4">
        <v>14</v>
      </c>
      <c r="G125" s="4">
        <v>0</v>
      </c>
      <c r="H125" s="5">
        <v>45613</v>
      </c>
      <c r="I125" s="6">
        <v>179.51</v>
      </c>
      <c r="J125" s="4" t="str">
        <f>TEXT(Table1[[#This Row],[Order_Date]],"MMM")</f>
        <v>Nov</v>
      </c>
      <c r="K125" s="14"/>
    </row>
    <row r="126" spans="1:11" ht="15" thickBot="1" x14ac:dyDescent="0.35">
      <c r="A126" s="3" t="s">
        <v>74</v>
      </c>
      <c r="B126" s="4" t="s">
        <v>19</v>
      </c>
      <c r="C126" s="4" t="s">
        <v>36</v>
      </c>
      <c r="D126" s="4" t="s">
        <v>17</v>
      </c>
      <c r="E126" s="4">
        <v>1277.8499999999999</v>
      </c>
      <c r="F126" s="4">
        <v>18</v>
      </c>
      <c r="G126" s="4">
        <v>0.2</v>
      </c>
      <c r="H126" s="5">
        <v>45613</v>
      </c>
      <c r="I126" s="6">
        <v>511.14</v>
      </c>
      <c r="J126" s="4" t="str">
        <f>TEXT(Table1[[#This Row],[Order_Date]],"MMM")</f>
        <v>Nov</v>
      </c>
      <c r="K126" s="14"/>
    </row>
    <row r="127" spans="1:11" ht="15" thickBot="1" x14ac:dyDescent="0.35">
      <c r="A127" s="3" t="s">
        <v>72</v>
      </c>
      <c r="B127" s="4" t="s">
        <v>25</v>
      </c>
      <c r="C127" s="4" t="s">
        <v>26</v>
      </c>
      <c r="D127" s="4" t="s">
        <v>23</v>
      </c>
      <c r="E127" s="4">
        <v>706.73</v>
      </c>
      <c r="F127" s="4">
        <v>1</v>
      </c>
      <c r="G127" s="4">
        <v>0.15</v>
      </c>
      <c r="H127" s="5">
        <v>45613</v>
      </c>
      <c r="I127" s="6">
        <v>150.18</v>
      </c>
      <c r="J127" s="4" t="str">
        <f>TEXT(Table1[[#This Row],[Order_Date]],"MMM")</f>
        <v>Nov</v>
      </c>
      <c r="K127" s="14"/>
    </row>
    <row r="128" spans="1:11" ht="15" thickBot="1" x14ac:dyDescent="0.35">
      <c r="A128" s="3" t="s">
        <v>67</v>
      </c>
      <c r="B128" s="4" t="s">
        <v>52</v>
      </c>
      <c r="C128" s="4" t="s">
        <v>20</v>
      </c>
      <c r="D128" s="4" t="s">
        <v>23</v>
      </c>
      <c r="E128" s="4">
        <v>1410.59</v>
      </c>
      <c r="F128" s="4">
        <v>15</v>
      </c>
      <c r="G128" s="4">
        <v>0</v>
      </c>
      <c r="H128" s="5">
        <v>45615</v>
      </c>
      <c r="I128" s="6">
        <v>352.65</v>
      </c>
      <c r="J128" s="4" t="str">
        <f>TEXT(Table1[[#This Row],[Order_Date]],"MMM")</f>
        <v>Nov</v>
      </c>
      <c r="K128" s="14"/>
    </row>
    <row r="129" spans="1:11" ht="15" thickBot="1" x14ac:dyDescent="0.35">
      <c r="A129" s="3" t="s">
        <v>34</v>
      </c>
      <c r="B129" s="4" t="s">
        <v>63</v>
      </c>
      <c r="C129" s="4" t="s">
        <v>22</v>
      </c>
      <c r="D129" s="4" t="s">
        <v>29</v>
      </c>
      <c r="E129" s="4">
        <v>1350.33</v>
      </c>
      <c r="F129" s="4">
        <v>10</v>
      </c>
      <c r="G129" s="4">
        <v>0</v>
      </c>
      <c r="H129" s="5">
        <v>45615</v>
      </c>
      <c r="I129" s="6">
        <v>472.62</v>
      </c>
      <c r="J129" s="4" t="str">
        <f>TEXT(Table1[[#This Row],[Order_Date]],"MMM")</f>
        <v>Nov</v>
      </c>
      <c r="K129" s="14"/>
    </row>
    <row r="130" spans="1:11" ht="15" thickBot="1" x14ac:dyDescent="0.35">
      <c r="A130" s="3" t="s">
        <v>43</v>
      </c>
      <c r="B130" s="4" t="s">
        <v>47</v>
      </c>
      <c r="C130" s="4" t="s">
        <v>20</v>
      </c>
      <c r="D130" s="4" t="s">
        <v>23</v>
      </c>
      <c r="E130" s="4">
        <v>919.18</v>
      </c>
      <c r="F130" s="4">
        <v>4</v>
      </c>
      <c r="G130" s="4">
        <v>0.15</v>
      </c>
      <c r="H130" s="5">
        <v>45615</v>
      </c>
      <c r="I130" s="6">
        <v>195.33</v>
      </c>
      <c r="J130" s="4" t="str">
        <f>TEXT(Table1[[#This Row],[Order_Date]],"MMM")</f>
        <v>Nov</v>
      </c>
      <c r="K130" s="14"/>
    </row>
    <row r="131" spans="1:11" ht="15" thickBot="1" x14ac:dyDescent="0.35">
      <c r="A131" s="3" t="s">
        <v>76</v>
      </c>
      <c r="B131" s="4" t="s">
        <v>25</v>
      </c>
      <c r="C131" s="4" t="s">
        <v>13</v>
      </c>
      <c r="D131" s="4" t="s">
        <v>23</v>
      </c>
      <c r="E131" s="4">
        <v>258.51</v>
      </c>
      <c r="F131" s="4">
        <v>19</v>
      </c>
      <c r="G131" s="4">
        <v>0</v>
      </c>
      <c r="H131" s="5">
        <v>45616</v>
      </c>
      <c r="I131" s="6">
        <v>64.63</v>
      </c>
      <c r="J131" s="4" t="str">
        <f>TEXT(Table1[[#This Row],[Order_Date]],"MMM")</f>
        <v>Nov</v>
      </c>
      <c r="K131" s="14"/>
    </row>
    <row r="132" spans="1:11" ht="15" thickBot="1" x14ac:dyDescent="0.35">
      <c r="A132" s="3" t="s">
        <v>65</v>
      </c>
      <c r="B132" s="4" t="s">
        <v>63</v>
      </c>
      <c r="C132" s="4" t="s">
        <v>20</v>
      </c>
      <c r="D132" s="4" t="s">
        <v>14</v>
      </c>
      <c r="E132" s="4">
        <v>1213.48</v>
      </c>
      <c r="F132" s="4">
        <v>5</v>
      </c>
      <c r="G132" s="4">
        <v>0.05</v>
      </c>
      <c r="H132" s="5">
        <v>45616</v>
      </c>
      <c r="I132" s="6">
        <v>461.12</v>
      </c>
      <c r="J132" s="4" t="str">
        <f>TEXT(Table1[[#This Row],[Order_Date]],"MMM")</f>
        <v>Nov</v>
      </c>
      <c r="K132" s="14"/>
    </row>
    <row r="133" spans="1:11" ht="15" thickBot="1" x14ac:dyDescent="0.35">
      <c r="A133" s="3" t="s">
        <v>59</v>
      </c>
      <c r="B133" s="4" t="s">
        <v>40</v>
      </c>
      <c r="C133" s="4" t="s">
        <v>36</v>
      </c>
      <c r="D133" s="4" t="s">
        <v>14</v>
      </c>
      <c r="E133" s="4">
        <v>1150.28</v>
      </c>
      <c r="F133" s="4">
        <v>8</v>
      </c>
      <c r="G133" s="4">
        <v>0.05</v>
      </c>
      <c r="H133" s="5">
        <v>45622</v>
      </c>
      <c r="I133" s="6">
        <v>437.11</v>
      </c>
      <c r="J133" s="4" t="str">
        <f>TEXT(Table1[[#This Row],[Order_Date]],"MMM")</f>
        <v>Nov</v>
      </c>
      <c r="K133" s="14"/>
    </row>
    <row r="134" spans="1:11" ht="15" thickBot="1" x14ac:dyDescent="0.35">
      <c r="A134" s="3" t="s">
        <v>39</v>
      </c>
      <c r="B134" s="4" t="s">
        <v>73</v>
      </c>
      <c r="C134" s="4" t="s">
        <v>22</v>
      </c>
      <c r="D134" s="4" t="s">
        <v>29</v>
      </c>
      <c r="E134" s="4">
        <v>853.86</v>
      </c>
      <c r="F134" s="4">
        <v>8</v>
      </c>
      <c r="G134" s="4">
        <v>0.1</v>
      </c>
      <c r="H134" s="5">
        <v>45622</v>
      </c>
      <c r="I134" s="6">
        <v>268.97000000000003</v>
      </c>
      <c r="J134" s="4" t="str">
        <f>TEXT(Table1[[#This Row],[Order_Date]],"MMM")</f>
        <v>Nov</v>
      </c>
      <c r="K134" s="14"/>
    </row>
    <row r="135" spans="1:11" ht="15" thickBot="1" x14ac:dyDescent="0.35">
      <c r="A135" s="3" t="s">
        <v>77</v>
      </c>
      <c r="B135" s="4" t="s">
        <v>47</v>
      </c>
      <c r="C135" s="4" t="s">
        <v>22</v>
      </c>
      <c r="D135" s="4" t="s">
        <v>23</v>
      </c>
      <c r="E135" s="4">
        <v>1061.04</v>
      </c>
      <c r="F135" s="4">
        <v>1</v>
      </c>
      <c r="G135" s="4">
        <v>0</v>
      </c>
      <c r="H135" s="5">
        <v>45624</v>
      </c>
      <c r="I135" s="6">
        <v>265.26</v>
      </c>
      <c r="J135" s="4" t="str">
        <f>TEXT(Table1[[#This Row],[Order_Date]],"MMM")</f>
        <v>Nov</v>
      </c>
      <c r="K135" s="14"/>
    </row>
    <row r="136" spans="1:11" ht="15" thickBot="1" x14ac:dyDescent="0.35">
      <c r="A136" s="3" t="s">
        <v>30</v>
      </c>
      <c r="B136" s="4" t="s">
        <v>45</v>
      </c>
      <c r="C136" s="4" t="s">
        <v>13</v>
      </c>
      <c r="D136" s="4" t="s">
        <v>23</v>
      </c>
      <c r="E136" s="4">
        <v>894.55</v>
      </c>
      <c r="F136" s="4">
        <v>19</v>
      </c>
      <c r="G136" s="4">
        <v>0.2</v>
      </c>
      <c r="H136" s="5">
        <v>45625</v>
      </c>
      <c r="I136" s="6">
        <v>178.91</v>
      </c>
      <c r="J136" s="4" t="str">
        <f>TEXT(Table1[[#This Row],[Order_Date]],"MMM")</f>
        <v>Nov</v>
      </c>
      <c r="K136" s="14"/>
    </row>
    <row r="137" spans="1:11" ht="15" thickBot="1" x14ac:dyDescent="0.35">
      <c r="A137" s="3" t="s">
        <v>27</v>
      </c>
      <c r="B137" s="4" t="s">
        <v>40</v>
      </c>
      <c r="C137" s="4" t="s">
        <v>26</v>
      </c>
      <c r="D137" s="4" t="s">
        <v>41</v>
      </c>
      <c r="E137" s="4">
        <v>833.91</v>
      </c>
      <c r="F137" s="4">
        <v>3</v>
      </c>
      <c r="G137" s="4">
        <v>0.05</v>
      </c>
      <c r="H137" s="5">
        <v>45626</v>
      </c>
      <c r="I137" s="6">
        <v>356.5</v>
      </c>
      <c r="J137" s="4" t="str">
        <f>TEXT(Table1[[#This Row],[Order_Date]],"MMM")</f>
        <v>Nov</v>
      </c>
      <c r="K137" s="14"/>
    </row>
    <row r="138" spans="1:11" ht="15" thickBot="1" x14ac:dyDescent="0.35">
      <c r="A138" s="3" t="s">
        <v>60</v>
      </c>
      <c r="B138" s="4" t="s">
        <v>73</v>
      </c>
      <c r="C138" s="4" t="s">
        <v>13</v>
      </c>
      <c r="D138" s="4" t="s">
        <v>29</v>
      </c>
      <c r="E138" s="4">
        <v>820.19</v>
      </c>
      <c r="F138" s="4">
        <v>4</v>
      </c>
      <c r="G138" s="4">
        <v>0.2</v>
      </c>
      <c r="H138" s="5">
        <v>45630</v>
      </c>
      <c r="I138" s="6">
        <v>229.65</v>
      </c>
      <c r="J138" s="4" t="str">
        <f>TEXT(Table1[[#This Row],[Order_Date]],"MMM")</f>
        <v>Dec</v>
      </c>
      <c r="K138" s="14"/>
    </row>
    <row r="139" spans="1:11" ht="15" thickBot="1" x14ac:dyDescent="0.35">
      <c r="A139" s="3" t="s">
        <v>60</v>
      </c>
      <c r="B139" s="4" t="s">
        <v>40</v>
      </c>
      <c r="C139" s="4" t="s">
        <v>36</v>
      </c>
      <c r="D139" s="4" t="s">
        <v>23</v>
      </c>
      <c r="E139" s="4">
        <v>511.74</v>
      </c>
      <c r="F139" s="4">
        <v>8</v>
      </c>
      <c r="G139" s="4">
        <v>0.05</v>
      </c>
      <c r="H139" s="5">
        <v>45631</v>
      </c>
      <c r="I139" s="6">
        <v>121.54</v>
      </c>
      <c r="J139" s="4" t="str">
        <f>TEXT(Table1[[#This Row],[Order_Date]],"MMM")</f>
        <v>Dec</v>
      </c>
      <c r="K139" s="14"/>
    </row>
    <row r="140" spans="1:11" ht="15" thickBot="1" x14ac:dyDescent="0.35">
      <c r="A140" s="3" t="s">
        <v>67</v>
      </c>
      <c r="B140" s="4" t="s">
        <v>63</v>
      </c>
      <c r="C140" s="4" t="s">
        <v>22</v>
      </c>
      <c r="D140" s="4" t="s">
        <v>29</v>
      </c>
      <c r="E140" s="4">
        <v>806.03</v>
      </c>
      <c r="F140" s="4">
        <v>19</v>
      </c>
      <c r="G140" s="4">
        <v>0.05</v>
      </c>
      <c r="H140" s="5">
        <v>45638</v>
      </c>
      <c r="I140" s="6">
        <v>268</v>
      </c>
      <c r="J140" s="4" t="str">
        <f>TEXT(Table1[[#This Row],[Order_Date]],"MMM")</f>
        <v>Dec</v>
      </c>
      <c r="K140" s="14"/>
    </row>
    <row r="141" spans="1:11" ht="15" thickBot="1" x14ac:dyDescent="0.35">
      <c r="A141" s="3" t="s">
        <v>30</v>
      </c>
      <c r="B141" s="4" t="s">
        <v>28</v>
      </c>
      <c r="C141" s="4" t="s">
        <v>36</v>
      </c>
      <c r="D141" s="4" t="s">
        <v>29</v>
      </c>
      <c r="E141" s="4">
        <v>1432.47</v>
      </c>
      <c r="F141" s="4">
        <v>16</v>
      </c>
      <c r="G141" s="4">
        <v>0.15</v>
      </c>
      <c r="H141" s="5">
        <v>45640</v>
      </c>
      <c r="I141" s="6">
        <v>426.16</v>
      </c>
      <c r="J141" s="4" t="str">
        <f>TEXT(Table1[[#This Row],[Order_Date]],"MMM")</f>
        <v>Dec</v>
      </c>
      <c r="K141" s="14"/>
    </row>
    <row r="142" spans="1:11" ht="15" thickBot="1" x14ac:dyDescent="0.35">
      <c r="A142" s="3" t="s">
        <v>76</v>
      </c>
      <c r="B142" s="4" t="s">
        <v>31</v>
      </c>
      <c r="C142" s="4" t="s">
        <v>36</v>
      </c>
      <c r="D142" s="4" t="s">
        <v>23</v>
      </c>
      <c r="E142" s="4">
        <v>1488.58</v>
      </c>
      <c r="F142" s="4">
        <v>10</v>
      </c>
      <c r="G142" s="4">
        <v>0.15</v>
      </c>
      <c r="H142" s="5">
        <v>45640</v>
      </c>
      <c r="I142" s="6">
        <v>316.32</v>
      </c>
      <c r="J142" s="4" t="str">
        <f>TEXT(Table1[[#This Row],[Order_Date]],"MMM")</f>
        <v>Dec</v>
      </c>
      <c r="K142" s="14"/>
    </row>
    <row r="143" spans="1:11" ht="15" thickBot="1" x14ac:dyDescent="0.35">
      <c r="A143" s="3" t="s">
        <v>32</v>
      </c>
      <c r="B143" s="4" t="s">
        <v>68</v>
      </c>
      <c r="C143" s="4" t="s">
        <v>20</v>
      </c>
      <c r="D143" s="4" t="s">
        <v>14</v>
      </c>
      <c r="E143" s="4">
        <v>1231.26</v>
      </c>
      <c r="F143" s="4">
        <v>9</v>
      </c>
      <c r="G143" s="4">
        <v>0</v>
      </c>
      <c r="H143" s="5">
        <v>45646</v>
      </c>
      <c r="I143" s="6">
        <v>492.5</v>
      </c>
      <c r="J143" s="4" t="str">
        <f>TEXT(Table1[[#This Row],[Order_Date]],"MMM")</f>
        <v>Dec</v>
      </c>
      <c r="K143" s="14"/>
    </row>
    <row r="144" spans="1:11" ht="15" thickBot="1" x14ac:dyDescent="0.35">
      <c r="A144" s="3" t="s">
        <v>32</v>
      </c>
      <c r="B144" s="4" t="s">
        <v>45</v>
      </c>
      <c r="C144" s="4" t="s">
        <v>13</v>
      </c>
      <c r="D144" s="4" t="s">
        <v>23</v>
      </c>
      <c r="E144" s="4">
        <v>1161.67</v>
      </c>
      <c r="F144" s="4">
        <v>19</v>
      </c>
      <c r="G144" s="4">
        <v>0.2</v>
      </c>
      <c r="H144" s="5">
        <v>45647</v>
      </c>
      <c r="I144" s="6">
        <v>232.33</v>
      </c>
      <c r="J144" s="4" t="str">
        <f>TEXT(Table1[[#This Row],[Order_Date]],"MMM")</f>
        <v>Dec</v>
      </c>
      <c r="K144" s="14"/>
    </row>
    <row r="145" spans="1:11" ht="15" thickBot="1" x14ac:dyDescent="0.35">
      <c r="A145" s="3" t="s">
        <v>51</v>
      </c>
      <c r="B145" s="4" t="s">
        <v>47</v>
      </c>
      <c r="C145" s="4" t="s">
        <v>36</v>
      </c>
      <c r="D145" s="4" t="s">
        <v>41</v>
      </c>
      <c r="E145" s="4">
        <v>388.23</v>
      </c>
      <c r="F145" s="4">
        <v>16</v>
      </c>
      <c r="G145" s="4">
        <v>0.05</v>
      </c>
      <c r="H145" s="5">
        <v>45650</v>
      </c>
      <c r="I145" s="6">
        <v>165.97</v>
      </c>
      <c r="J145" s="4" t="str">
        <f>TEXT(Table1[[#This Row],[Order_Date]],"MMM")</f>
        <v>Dec</v>
      </c>
      <c r="K145" s="14"/>
    </row>
    <row r="146" spans="1:11" ht="15" thickBot="1" x14ac:dyDescent="0.35">
      <c r="A146" s="3" t="s">
        <v>74</v>
      </c>
      <c r="B146" s="4" t="s">
        <v>33</v>
      </c>
      <c r="C146" s="4" t="s">
        <v>26</v>
      </c>
      <c r="D146" s="4" t="s">
        <v>17</v>
      </c>
      <c r="E146" s="4">
        <v>1589.42</v>
      </c>
      <c r="F146" s="4">
        <v>6</v>
      </c>
      <c r="G146" s="4">
        <v>0.15</v>
      </c>
      <c r="H146" s="5">
        <v>45651</v>
      </c>
      <c r="I146" s="6">
        <v>675.5</v>
      </c>
      <c r="J146" s="4" t="str">
        <f>TEXT(Table1[[#This Row],[Order_Date]],"MMM")</f>
        <v>Dec</v>
      </c>
      <c r="K146" s="14"/>
    </row>
    <row r="147" spans="1:11" ht="15" thickBot="1" x14ac:dyDescent="0.35">
      <c r="A147" s="3" t="s">
        <v>30</v>
      </c>
      <c r="B147" s="4" t="s">
        <v>73</v>
      </c>
      <c r="C147" s="4" t="s">
        <v>26</v>
      </c>
      <c r="D147" s="4" t="s">
        <v>17</v>
      </c>
      <c r="E147" s="4">
        <v>336.66</v>
      </c>
      <c r="F147" s="4">
        <v>13</v>
      </c>
      <c r="G147" s="4">
        <v>0.2</v>
      </c>
      <c r="H147" s="5">
        <v>45651</v>
      </c>
      <c r="I147" s="6">
        <v>134.66</v>
      </c>
      <c r="J147" s="4" t="str">
        <f>TEXT(Table1[[#This Row],[Order_Date]],"MMM")</f>
        <v>Dec</v>
      </c>
      <c r="K147" s="14"/>
    </row>
    <row r="148" spans="1:11" ht="15" thickBot="1" x14ac:dyDescent="0.35">
      <c r="A148" s="3" t="s">
        <v>51</v>
      </c>
      <c r="B148" s="4" t="s">
        <v>25</v>
      </c>
      <c r="C148" s="4" t="s">
        <v>13</v>
      </c>
      <c r="D148" s="4" t="s">
        <v>14</v>
      </c>
      <c r="E148" s="4">
        <v>1353.79</v>
      </c>
      <c r="F148" s="4">
        <v>14</v>
      </c>
      <c r="G148" s="4">
        <v>0.1</v>
      </c>
      <c r="H148" s="5">
        <v>45656</v>
      </c>
      <c r="I148" s="6">
        <v>487.36</v>
      </c>
      <c r="J148" s="4" t="str">
        <f>TEXT(Table1[[#This Row],[Order_Date]],"MMM")</f>
        <v>Dec</v>
      </c>
      <c r="K148" s="14"/>
    </row>
    <row r="149" spans="1:11" ht="15" thickBot="1" x14ac:dyDescent="0.35">
      <c r="A149" s="3" t="s">
        <v>65</v>
      </c>
      <c r="B149" s="4" t="s">
        <v>71</v>
      </c>
      <c r="C149" s="4" t="s">
        <v>36</v>
      </c>
      <c r="D149" s="4" t="s">
        <v>17</v>
      </c>
      <c r="E149" s="4">
        <v>662.61</v>
      </c>
      <c r="F149" s="4">
        <v>11</v>
      </c>
      <c r="G149" s="4">
        <v>0.05</v>
      </c>
      <c r="H149" s="5">
        <v>45658</v>
      </c>
      <c r="I149" s="6">
        <v>314.74</v>
      </c>
      <c r="J149" s="4" t="str">
        <f>TEXT(Table1[[#This Row],[Order_Date]],"MMM")</f>
        <v>Jan</v>
      </c>
      <c r="K149" s="14"/>
    </row>
    <row r="150" spans="1:11" ht="15" thickBot="1" x14ac:dyDescent="0.35">
      <c r="A150" s="3" t="s">
        <v>54</v>
      </c>
      <c r="B150" s="4" t="s">
        <v>50</v>
      </c>
      <c r="C150" s="4" t="s">
        <v>26</v>
      </c>
      <c r="D150" s="4" t="s">
        <v>41</v>
      </c>
      <c r="E150" s="4">
        <v>309.42</v>
      </c>
      <c r="F150" s="4">
        <v>1</v>
      </c>
      <c r="G150" s="4">
        <v>0.2</v>
      </c>
      <c r="H150" s="5">
        <v>45658</v>
      </c>
      <c r="I150" s="6">
        <v>111.39</v>
      </c>
      <c r="J150" s="4" t="str">
        <f>TEXT(Table1[[#This Row],[Order_Date]],"MMM")</f>
        <v>Jan</v>
      </c>
      <c r="K150" s="14"/>
    </row>
    <row r="151" spans="1:11" ht="15" thickBot="1" x14ac:dyDescent="0.35">
      <c r="A151" s="3" t="s">
        <v>65</v>
      </c>
      <c r="B151" s="4" t="s">
        <v>31</v>
      </c>
      <c r="C151" s="4" t="s">
        <v>26</v>
      </c>
      <c r="D151" s="4" t="s">
        <v>14</v>
      </c>
      <c r="E151" s="4">
        <v>884.63</v>
      </c>
      <c r="F151" s="4">
        <v>18</v>
      </c>
      <c r="G151" s="4">
        <v>0.1</v>
      </c>
      <c r="H151" s="5">
        <v>45659</v>
      </c>
      <c r="I151" s="6">
        <v>318.47000000000003</v>
      </c>
      <c r="J151" s="4" t="str">
        <f>TEXT(Table1[[#This Row],[Order_Date]],"MMM")</f>
        <v>Jan</v>
      </c>
      <c r="K151" s="14"/>
    </row>
    <row r="152" spans="1:11" ht="15" thickBot="1" x14ac:dyDescent="0.35">
      <c r="A152" s="3" t="s">
        <v>54</v>
      </c>
      <c r="B152" s="4" t="s">
        <v>25</v>
      </c>
      <c r="C152" s="4" t="s">
        <v>36</v>
      </c>
      <c r="D152" s="4" t="s">
        <v>41</v>
      </c>
      <c r="E152" s="4">
        <v>745.05</v>
      </c>
      <c r="F152" s="4">
        <v>10</v>
      </c>
      <c r="G152" s="4">
        <v>0.1</v>
      </c>
      <c r="H152" s="5">
        <v>45660</v>
      </c>
      <c r="I152" s="6">
        <v>301.75</v>
      </c>
      <c r="J152" s="4" t="str">
        <f>TEXT(Table1[[#This Row],[Order_Date]],"MMM")</f>
        <v>Jan</v>
      </c>
      <c r="K152" s="14"/>
    </row>
    <row r="153" spans="1:11" ht="15" thickBot="1" x14ac:dyDescent="0.35">
      <c r="A153" s="3" t="s">
        <v>62</v>
      </c>
      <c r="B153" s="4" t="s">
        <v>19</v>
      </c>
      <c r="C153" s="4" t="s">
        <v>22</v>
      </c>
      <c r="D153" s="4" t="s">
        <v>17</v>
      </c>
      <c r="E153" s="4">
        <v>870.23</v>
      </c>
      <c r="F153" s="4">
        <v>5</v>
      </c>
      <c r="G153" s="4">
        <v>0.05</v>
      </c>
      <c r="H153" s="5">
        <v>45660</v>
      </c>
      <c r="I153" s="6">
        <v>413.36</v>
      </c>
      <c r="J153" s="4" t="str">
        <f>TEXT(Table1[[#This Row],[Order_Date]],"MMM")</f>
        <v>Jan</v>
      </c>
      <c r="K153" s="14"/>
    </row>
    <row r="154" spans="1:11" ht="15" thickBot="1" x14ac:dyDescent="0.35">
      <c r="A154" s="3" t="s">
        <v>37</v>
      </c>
      <c r="B154" s="4" t="s">
        <v>31</v>
      </c>
      <c r="C154" s="4" t="s">
        <v>13</v>
      </c>
      <c r="D154" s="4" t="s">
        <v>29</v>
      </c>
      <c r="E154" s="4">
        <v>862.19</v>
      </c>
      <c r="F154" s="4">
        <v>18</v>
      </c>
      <c r="G154" s="4">
        <v>0.05</v>
      </c>
      <c r="H154" s="5">
        <v>45663</v>
      </c>
      <c r="I154" s="6">
        <v>286.68</v>
      </c>
      <c r="J154" s="4" t="str">
        <f>TEXT(Table1[[#This Row],[Order_Date]],"MMM")</f>
        <v>Jan</v>
      </c>
      <c r="K154" s="14"/>
    </row>
    <row r="155" spans="1:11" ht="15" thickBot="1" x14ac:dyDescent="0.35">
      <c r="A155" s="3" t="s">
        <v>75</v>
      </c>
      <c r="B155" s="4" t="s">
        <v>61</v>
      </c>
      <c r="C155" s="4" t="s">
        <v>26</v>
      </c>
      <c r="D155" s="4" t="s">
        <v>17</v>
      </c>
      <c r="E155" s="4">
        <v>1171.18</v>
      </c>
      <c r="F155" s="4">
        <v>19</v>
      </c>
      <c r="G155" s="4">
        <v>0.05</v>
      </c>
      <c r="H155" s="5">
        <v>45667</v>
      </c>
      <c r="I155" s="6">
        <v>556.30999999999995</v>
      </c>
      <c r="J155" s="4" t="str">
        <f>TEXT(Table1[[#This Row],[Order_Date]],"MMM")</f>
        <v>Jan</v>
      </c>
      <c r="K155" s="14"/>
    </row>
    <row r="156" spans="1:11" ht="15" thickBot="1" x14ac:dyDescent="0.35">
      <c r="A156" s="3" t="s">
        <v>60</v>
      </c>
      <c r="B156" s="4" t="s">
        <v>16</v>
      </c>
      <c r="C156" s="4" t="s">
        <v>22</v>
      </c>
      <c r="D156" s="4" t="s">
        <v>29</v>
      </c>
      <c r="E156" s="4">
        <v>1054.56</v>
      </c>
      <c r="F156" s="4">
        <v>11</v>
      </c>
      <c r="G156" s="4">
        <v>0.1</v>
      </c>
      <c r="H156" s="5">
        <v>45669</v>
      </c>
      <c r="I156" s="6">
        <v>332.19</v>
      </c>
      <c r="J156" s="4" t="str">
        <f>TEXT(Table1[[#This Row],[Order_Date]],"MMM")</f>
        <v>Jan</v>
      </c>
      <c r="K156" s="14"/>
    </row>
    <row r="157" spans="1:11" ht="15" thickBot="1" x14ac:dyDescent="0.35">
      <c r="A157" s="3" t="s">
        <v>60</v>
      </c>
      <c r="B157" s="4" t="s">
        <v>25</v>
      </c>
      <c r="C157" s="4" t="s">
        <v>26</v>
      </c>
      <c r="D157" s="4" t="s">
        <v>23</v>
      </c>
      <c r="E157" s="4">
        <v>1681.21</v>
      </c>
      <c r="F157" s="4">
        <v>5</v>
      </c>
      <c r="G157" s="4">
        <v>0.2</v>
      </c>
      <c r="H157" s="5">
        <v>45670</v>
      </c>
      <c r="I157" s="6">
        <v>336.24</v>
      </c>
      <c r="J157" s="4" t="str">
        <f>TEXT(Table1[[#This Row],[Order_Date]],"MMM")</f>
        <v>Jan</v>
      </c>
      <c r="K157" s="14"/>
    </row>
    <row r="158" spans="1:11" ht="15" thickBot="1" x14ac:dyDescent="0.35">
      <c r="A158" s="3" t="s">
        <v>60</v>
      </c>
      <c r="B158" s="4" t="s">
        <v>38</v>
      </c>
      <c r="C158" s="4" t="s">
        <v>13</v>
      </c>
      <c r="D158" s="4" t="s">
        <v>17</v>
      </c>
      <c r="E158" s="4">
        <v>379.77</v>
      </c>
      <c r="F158" s="4">
        <v>9</v>
      </c>
      <c r="G158" s="4">
        <v>0.05</v>
      </c>
      <c r="H158" s="5">
        <v>45673</v>
      </c>
      <c r="I158" s="6">
        <v>180.39</v>
      </c>
      <c r="J158" s="4" t="str">
        <f>TEXT(Table1[[#This Row],[Order_Date]],"MMM")</f>
        <v>Jan</v>
      </c>
      <c r="K158" s="14"/>
    </row>
    <row r="159" spans="1:11" ht="15" thickBot="1" x14ac:dyDescent="0.35">
      <c r="A159" s="3" t="s">
        <v>46</v>
      </c>
      <c r="B159" s="4" t="s">
        <v>47</v>
      </c>
      <c r="C159" s="4" t="s">
        <v>36</v>
      </c>
      <c r="D159" s="4" t="s">
        <v>17</v>
      </c>
      <c r="E159" s="4">
        <v>1076.33</v>
      </c>
      <c r="F159" s="4">
        <v>2</v>
      </c>
      <c r="G159" s="4">
        <v>0.1</v>
      </c>
      <c r="H159" s="5">
        <v>45674</v>
      </c>
      <c r="I159" s="6">
        <v>484.35</v>
      </c>
      <c r="J159" s="4" t="str">
        <f>TEXT(Table1[[#This Row],[Order_Date]],"MMM")</f>
        <v>Jan</v>
      </c>
      <c r="K159" s="14"/>
    </row>
    <row r="160" spans="1:11" ht="15" thickBot="1" x14ac:dyDescent="0.35">
      <c r="A160" s="3" t="s">
        <v>46</v>
      </c>
      <c r="B160" s="4" t="s">
        <v>33</v>
      </c>
      <c r="C160" s="4" t="s">
        <v>36</v>
      </c>
      <c r="D160" s="4" t="s">
        <v>41</v>
      </c>
      <c r="E160" s="4">
        <v>1250.71</v>
      </c>
      <c r="F160" s="4">
        <v>7</v>
      </c>
      <c r="G160" s="4">
        <v>0</v>
      </c>
      <c r="H160" s="5">
        <v>45674</v>
      </c>
      <c r="I160" s="6">
        <v>562.82000000000005</v>
      </c>
      <c r="J160" s="4" t="str">
        <f>TEXT(Table1[[#This Row],[Order_Date]],"MMM")</f>
        <v>Jan</v>
      </c>
      <c r="K160" s="14"/>
    </row>
    <row r="161" spans="1:11" ht="15" thickBot="1" x14ac:dyDescent="0.35">
      <c r="A161" s="3" t="s">
        <v>42</v>
      </c>
      <c r="B161" s="4" t="s">
        <v>19</v>
      </c>
      <c r="C161" s="4" t="s">
        <v>22</v>
      </c>
      <c r="D161" s="4" t="s">
        <v>17</v>
      </c>
      <c r="E161" s="4">
        <v>1118.3399999999999</v>
      </c>
      <c r="F161" s="4">
        <v>6</v>
      </c>
      <c r="G161" s="4">
        <v>0.2</v>
      </c>
      <c r="H161" s="5">
        <v>45674</v>
      </c>
      <c r="I161" s="6">
        <v>447.34</v>
      </c>
      <c r="J161" s="4" t="str">
        <f>TEXT(Table1[[#This Row],[Order_Date]],"MMM")</f>
        <v>Jan</v>
      </c>
      <c r="K161" s="14"/>
    </row>
    <row r="162" spans="1:11" ht="15" thickBot="1" x14ac:dyDescent="0.35">
      <c r="A162" s="3" t="s">
        <v>72</v>
      </c>
      <c r="B162" s="4" t="s">
        <v>55</v>
      </c>
      <c r="C162" s="4" t="s">
        <v>26</v>
      </c>
      <c r="D162" s="4" t="s">
        <v>17</v>
      </c>
      <c r="E162" s="4">
        <v>1622.62</v>
      </c>
      <c r="F162" s="4">
        <v>12</v>
      </c>
      <c r="G162" s="4">
        <v>0.2</v>
      </c>
      <c r="H162" s="5">
        <v>45677</v>
      </c>
      <c r="I162" s="6">
        <v>649.04999999999995</v>
      </c>
      <c r="J162" s="4" t="str">
        <f>TEXT(Table1[[#This Row],[Order_Date]],"MMM")</f>
        <v>Jan</v>
      </c>
      <c r="K162" s="14"/>
    </row>
    <row r="163" spans="1:11" ht="15" thickBot="1" x14ac:dyDescent="0.35">
      <c r="A163" s="3" t="s">
        <v>77</v>
      </c>
      <c r="B163" s="4" t="s">
        <v>50</v>
      </c>
      <c r="C163" s="4" t="s">
        <v>26</v>
      </c>
      <c r="D163" s="4" t="s">
        <v>14</v>
      </c>
      <c r="E163" s="4">
        <v>640.64</v>
      </c>
      <c r="F163" s="4">
        <v>11</v>
      </c>
      <c r="G163" s="4">
        <v>0.2</v>
      </c>
      <c r="H163" s="5">
        <v>45678</v>
      </c>
      <c r="I163" s="6">
        <v>205</v>
      </c>
      <c r="J163" s="4" t="str">
        <f>TEXT(Table1[[#This Row],[Order_Date]],"MMM")</f>
        <v>Jan</v>
      </c>
      <c r="K163" s="14"/>
    </row>
    <row r="164" spans="1:11" ht="15" thickBot="1" x14ac:dyDescent="0.35">
      <c r="A164" s="3" t="s">
        <v>24</v>
      </c>
      <c r="B164" s="4" t="s">
        <v>45</v>
      </c>
      <c r="C164" s="4" t="s">
        <v>13</v>
      </c>
      <c r="D164" s="4" t="s">
        <v>17</v>
      </c>
      <c r="E164" s="4">
        <v>585.16</v>
      </c>
      <c r="F164" s="4">
        <v>17</v>
      </c>
      <c r="G164" s="4">
        <v>0.1</v>
      </c>
      <c r="H164" s="5">
        <v>45684</v>
      </c>
      <c r="I164" s="6">
        <v>263.32</v>
      </c>
      <c r="J164" s="4" t="str">
        <f>TEXT(Table1[[#This Row],[Order_Date]],"MMM")</f>
        <v>Jan</v>
      </c>
      <c r="K164" s="14"/>
    </row>
    <row r="165" spans="1:11" ht="15" thickBot="1" x14ac:dyDescent="0.35">
      <c r="A165" s="3" t="s">
        <v>24</v>
      </c>
      <c r="B165" s="4" t="s">
        <v>33</v>
      </c>
      <c r="C165" s="4" t="s">
        <v>20</v>
      </c>
      <c r="D165" s="4" t="s">
        <v>17</v>
      </c>
      <c r="E165" s="4">
        <v>1109.98</v>
      </c>
      <c r="F165" s="4">
        <v>5</v>
      </c>
      <c r="G165" s="4">
        <v>0.2</v>
      </c>
      <c r="H165" s="5">
        <v>45690</v>
      </c>
      <c r="I165" s="6">
        <v>443.99</v>
      </c>
      <c r="J165" s="4" t="str">
        <f>TEXT(Table1[[#This Row],[Order_Date]],"MMM")</f>
        <v>Feb</v>
      </c>
      <c r="K165" s="14"/>
    </row>
    <row r="166" spans="1:11" ht="15" thickBot="1" x14ac:dyDescent="0.35">
      <c r="A166" s="3" t="s">
        <v>60</v>
      </c>
      <c r="B166" s="4" t="s">
        <v>47</v>
      </c>
      <c r="C166" s="4" t="s">
        <v>20</v>
      </c>
      <c r="D166" s="4" t="s">
        <v>14</v>
      </c>
      <c r="E166" s="4">
        <v>1098.08</v>
      </c>
      <c r="F166" s="4">
        <v>9</v>
      </c>
      <c r="G166" s="4">
        <v>0.1</v>
      </c>
      <c r="H166" s="5">
        <v>45692</v>
      </c>
      <c r="I166" s="6">
        <v>395.31</v>
      </c>
      <c r="J166" s="4" t="str">
        <f>TEXT(Table1[[#This Row],[Order_Date]],"MMM")</f>
        <v>Feb</v>
      </c>
      <c r="K166" s="14"/>
    </row>
    <row r="167" spans="1:11" ht="15" thickBot="1" x14ac:dyDescent="0.35">
      <c r="A167" s="3" t="s">
        <v>67</v>
      </c>
      <c r="B167" s="4" t="s">
        <v>50</v>
      </c>
      <c r="C167" s="4" t="s">
        <v>13</v>
      </c>
      <c r="D167" s="4" t="s">
        <v>41</v>
      </c>
      <c r="E167" s="4">
        <v>827.25</v>
      </c>
      <c r="F167" s="4">
        <v>7</v>
      </c>
      <c r="G167" s="4">
        <v>0.1</v>
      </c>
      <c r="H167" s="5">
        <v>45693</v>
      </c>
      <c r="I167" s="6">
        <v>335.04</v>
      </c>
      <c r="J167" s="4" t="str">
        <f>TEXT(Table1[[#This Row],[Order_Date]],"MMM")</f>
        <v>Feb</v>
      </c>
      <c r="K167" s="14"/>
    </row>
    <row r="168" spans="1:11" ht="15" thickBot="1" x14ac:dyDescent="0.35">
      <c r="A168" s="3" t="s">
        <v>72</v>
      </c>
      <c r="B168" s="4" t="s">
        <v>31</v>
      </c>
      <c r="C168" s="4" t="s">
        <v>36</v>
      </c>
      <c r="D168" s="4" t="s">
        <v>17</v>
      </c>
      <c r="E168" s="4">
        <v>741.88</v>
      </c>
      <c r="F168" s="4">
        <v>16</v>
      </c>
      <c r="G168" s="4">
        <v>0.1</v>
      </c>
      <c r="H168" s="5">
        <v>45695</v>
      </c>
      <c r="I168" s="6">
        <v>333.85</v>
      </c>
      <c r="J168" s="4" t="str">
        <f>TEXT(Table1[[#This Row],[Order_Date]],"MMM")</f>
        <v>Feb</v>
      </c>
      <c r="K168" s="14"/>
    </row>
    <row r="169" spans="1:11" ht="15" thickBot="1" x14ac:dyDescent="0.35">
      <c r="A169" s="3" t="s">
        <v>74</v>
      </c>
      <c r="B169" s="4" t="s">
        <v>12</v>
      </c>
      <c r="C169" s="4" t="s">
        <v>20</v>
      </c>
      <c r="D169" s="4" t="s">
        <v>41</v>
      </c>
      <c r="E169" s="4">
        <v>1311.26</v>
      </c>
      <c r="F169" s="4">
        <v>6</v>
      </c>
      <c r="G169" s="4">
        <v>0.1</v>
      </c>
      <c r="H169" s="5">
        <v>45698</v>
      </c>
      <c r="I169" s="6">
        <v>531.05999999999995</v>
      </c>
      <c r="J169" s="4" t="str">
        <f>TEXT(Table1[[#This Row],[Order_Date]],"MMM")</f>
        <v>Feb</v>
      </c>
      <c r="K169" s="14"/>
    </row>
    <row r="170" spans="1:11" ht="15" thickBot="1" x14ac:dyDescent="0.35">
      <c r="A170" s="3" t="s">
        <v>74</v>
      </c>
      <c r="B170" s="4" t="s">
        <v>33</v>
      </c>
      <c r="C170" s="4" t="s">
        <v>22</v>
      </c>
      <c r="D170" s="4" t="s">
        <v>41</v>
      </c>
      <c r="E170" s="4">
        <v>573.32000000000005</v>
      </c>
      <c r="F170" s="4">
        <v>19</v>
      </c>
      <c r="G170" s="4">
        <v>0.1</v>
      </c>
      <c r="H170" s="5">
        <v>45703</v>
      </c>
      <c r="I170" s="6">
        <v>232.19</v>
      </c>
      <c r="J170" s="4" t="str">
        <f>TEXT(Table1[[#This Row],[Order_Date]],"MMM")</f>
        <v>Feb</v>
      </c>
      <c r="K170" s="14"/>
    </row>
    <row r="171" spans="1:11" ht="15" thickBot="1" x14ac:dyDescent="0.35">
      <c r="A171" s="3" t="s">
        <v>54</v>
      </c>
      <c r="B171" s="4" t="s">
        <v>25</v>
      </c>
      <c r="C171" s="4" t="s">
        <v>13</v>
      </c>
      <c r="D171" s="4" t="s">
        <v>23</v>
      </c>
      <c r="E171" s="4">
        <v>1115.22</v>
      </c>
      <c r="F171" s="4">
        <v>14</v>
      </c>
      <c r="G171" s="4">
        <v>0.2</v>
      </c>
      <c r="H171" s="5">
        <v>45705</v>
      </c>
      <c r="I171" s="6">
        <v>223.04</v>
      </c>
      <c r="J171" s="4" t="str">
        <f>TEXT(Table1[[#This Row],[Order_Date]],"MMM")</f>
        <v>Feb</v>
      </c>
      <c r="K171" s="14"/>
    </row>
    <row r="172" spans="1:11" ht="15" thickBot="1" x14ac:dyDescent="0.35">
      <c r="A172" s="3" t="s">
        <v>15</v>
      </c>
      <c r="B172" s="4" t="s">
        <v>47</v>
      </c>
      <c r="C172" s="4" t="s">
        <v>26</v>
      </c>
      <c r="D172" s="4" t="s">
        <v>17</v>
      </c>
      <c r="E172" s="4">
        <v>845.84</v>
      </c>
      <c r="F172" s="4">
        <v>4</v>
      </c>
      <c r="G172" s="4">
        <v>0</v>
      </c>
      <c r="H172" s="5">
        <v>45707</v>
      </c>
      <c r="I172" s="6">
        <v>422.92</v>
      </c>
      <c r="J172" s="4" t="str">
        <f>TEXT(Table1[[#This Row],[Order_Date]],"MMM")</f>
        <v>Feb</v>
      </c>
      <c r="K172" s="14"/>
    </row>
    <row r="173" spans="1:11" ht="15" thickBot="1" x14ac:dyDescent="0.35">
      <c r="A173" s="3" t="s">
        <v>32</v>
      </c>
      <c r="B173" s="4" t="s">
        <v>57</v>
      </c>
      <c r="C173" s="4" t="s">
        <v>13</v>
      </c>
      <c r="D173" s="4" t="s">
        <v>23</v>
      </c>
      <c r="E173" s="4">
        <v>1029.8</v>
      </c>
      <c r="F173" s="4">
        <v>3</v>
      </c>
      <c r="G173" s="4">
        <v>0</v>
      </c>
      <c r="H173" s="5">
        <v>45708</v>
      </c>
      <c r="I173" s="6">
        <v>257.45</v>
      </c>
      <c r="J173" s="4" t="str">
        <f>TEXT(Table1[[#This Row],[Order_Date]],"MMM")</f>
        <v>Feb</v>
      </c>
      <c r="K173" s="14"/>
    </row>
    <row r="174" spans="1:11" ht="15" thickBot="1" x14ac:dyDescent="0.35">
      <c r="A174" s="3" t="s">
        <v>34</v>
      </c>
      <c r="B174" s="4" t="s">
        <v>33</v>
      </c>
      <c r="C174" s="4" t="s">
        <v>26</v>
      </c>
      <c r="D174" s="4" t="s">
        <v>14</v>
      </c>
      <c r="E174" s="4">
        <v>1189.83</v>
      </c>
      <c r="F174" s="4">
        <v>2</v>
      </c>
      <c r="G174" s="4">
        <v>0.2</v>
      </c>
      <c r="H174" s="5">
        <v>45709</v>
      </c>
      <c r="I174" s="6">
        <v>380.75</v>
      </c>
      <c r="J174" s="4" t="str">
        <f>TEXT(Table1[[#This Row],[Order_Date]],"MMM")</f>
        <v>Feb</v>
      </c>
      <c r="K174" s="14"/>
    </row>
    <row r="175" spans="1:11" ht="15" thickBot="1" x14ac:dyDescent="0.35">
      <c r="A175" s="3" t="s">
        <v>69</v>
      </c>
      <c r="B175" s="4" t="s">
        <v>45</v>
      </c>
      <c r="C175" s="4" t="s">
        <v>22</v>
      </c>
      <c r="D175" s="4" t="s">
        <v>14</v>
      </c>
      <c r="E175" s="4">
        <v>704.28</v>
      </c>
      <c r="F175" s="4">
        <v>15</v>
      </c>
      <c r="G175" s="4">
        <v>0.2</v>
      </c>
      <c r="H175" s="5">
        <v>45712</v>
      </c>
      <c r="I175" s="6">
        <v>225.37</v>
      </c>
      <c r="J175" s="4" t="str">
        <f>TEXT(Table1[[#This Row],[Order_Date]],"MMM")</f>
        <v>Feb</v>
      </c>
      <c r="K175" s="14"/>
    </row>
    <row r="176" spans="1:11" ht="15" thickBot="1" x14ac:dyDescent="0.35">
      <c r="A176" s="3" t="s">
        <v>67</v>
      </c>
      <c r="B176" s="4" t="s">
        <v>49</v>
      </c>
      <c r="C176" s="4" t="s">
        <v>36</v>
      </c>
      <c r="D176" s="4" t="s">
        <v>41</v>
      </c>
      <c r="E176" s="4">
        <v>1618.22</v>
      </c>
      <c r="F176" s="4">
        <v>12</v>
      </c>
      <c r="G176" s="4">
        <v>0.2</v>
      </c>
      <c r="H176" s="5">
        <v>45712</v>
      </c>
      <c r="I176" s="6">
        <v>582.55999999999995</v>
      </c>
      <c r="J176" s="4" t="str">
        <f>TEXT(Table1[[#This Row],[Order_Date]],"MMM")</f>
        <v>Feb</v>
      </c>
      <c r="K176" s="14"/>
    </row>
    <row r="177" spans="1:11" ht="15" thickBot="1" x14ac:dyDescent="0.35">
      <c r="A177" s="3" t="s">
        <v>75</v>
      </c>
      <c r="B177" s="4" t="s">
        <v>55</v>
      </c>
      <c r="C177" s="4" t="s">
        <v>36</v>
      </c>
      <c r="D177" s="4" t="s">
        <v>14</v>
      </c>
      <c r="E177" s="4">
        <v>1014.43</v>
      </c>
      <c r="F177" s="4">
        <v>2</v>
      </c>
      <c r="G177" s="4">
        <v>0.15</v>
      </c>
      <c r="H177" s="5">
        <v>45713</v>
      </c>
      <c r="I177" s="6">
        <v>344.91</v>
      </c>
      <c r="J177" s="4" t="str">
        <f>TEXT(Table1[[#This Row],[Order_Date]],"MMM")</f>
        <v>Feb</v>
      </c>
      <c r="K177" s="14"/>
    </row>
    <row r="178" spans="1:11" ht="15" thickBot="1" x14ac:dyDescent="0.35">
      <c r="A178" s="3" t="s">
        <v>77</v>
      </c>
      <c r="B178" s="4" t="s">
        <v>33</v>
      </c>
      <c r="C178" s="4" t="s">
        <v>36</v>
      </c>
      <c r="D178" s="4" t="s">
        <v>17</v>
      </c>
      <c r="E178" s="4">
        <v>826.97</v>
      </c>
      <c r="F178" s="4">
        <v>18</v>
      </c>
      <c r="G178" s="4">
        <v>0.2</v>
      </c>
      <c r="H178" s="5">
        <v>45715</v>
      </c>
      <c r="I178" s="6">
        <v>330.79</v>
      </c>
      <c r="J178" s="4" t="str">
        <f>TEXT(Table1[[#This Row],[Order_Date]],"MMM")</f>
        <v>Feb</v>
      </c>
      <c r="K178" s="14"/>
    </row>
    <row r="179" spans="1:11" ht="15" thickBot="1" x14ac:dyDescent="0.35">
      <c r="A179" s="3" t="s">
        <v>18</v>
      </c>
      <c r="B179" s="4" t="s">
        <v>33</v>
      </c>
      <c r="C179" s="4" t="s">
        <v>36</v>
      </c>
      <c r="D179" s="4" t="s">
        <v>17</v>
      </c>
      <c r="E179" s="4">
        <v>1022.23</v>
      </c>
      <c r="F179" s="4">
        <v>8</v>
      </c>
      <c r="G179" s="4">
        <v>0.1</v>
      </c>
      <c r="H179" s="5">
        <v>45717</v>
      </c>
      <c r="I179" s="6">
        <v>460</v>
      </c>
      <c r="J179" s="4" t="str">
        <f>TEXT(Table1[[#This Row],[Order_Date]],"MMM")</f>
        <v>Mar</v>
      </c>
      <c r="K179" s="14"/>
    </row>
    <row r="180" spans="1:11" ht="15" thickBot="1" x14ac:dyDescent="0.35">
      <c r="A180" s="3" t="s">
        <v>74</v>
      </c>
      <c r="B180" s="4" t="s">
        <v>31</v>
      </c>
      <c r="C180" s="4" t="s">
        <v>20</v>
      </c>
      <c r="D180" s="4" t="s">
        <v>14</v>
      </c>
      <c r="E180" s="4">
        <v>1099.69</v>
      </c>
      <c r="F180" s="4">
        <v>6</v>
      </c>
      <c r="G180" s="4">
        <v>0</v>
      </c>
      <c r="H180" s="5">
        <v>45718</v>
      </c>
      <c r="I180" s="6">
        <v>439.88</v>
      </c>
      <c r="J180" s="4" t="str">
        <f>TEXT(Table1[[#This Row],[Order_Date]],"MMM")</f>
        <v>Mar</v>
      </c>
      <c r="K180" s="14"/>
    </row>
    <row r="181" spans="1:11" ht="15" thickBot="1" x14ac:dyDescent="0.35">
      <c r="A181" s="3" t="s">
        <v>54</v>
      </c>
      <c r="B181" s="4" t="s">
        <v>66</v>
      </c>
      <c r="C181" s="4" t="s">
        <v>26</v>
      </c>
      <c r="D181" s="4" t="s">
        <v>14</v>
      </c>
      <c r="E181" s="4">
        <v>710.52</v>
      </c>
      <c r="F181" s="4">
        <v>8</v>
      </c>
      <c r="G181" s="4">
        <v>0.1</v>
      </c>
      <c r="H181" s="5">
        <v>45721</v>
      </c>
      <c r="I181" s="6">
        <v>255.79</v>
      </c>
      <c r="J181" s="4" t="str">
        <f>TEXT(Table1[[#This Row],[Order_Date]],"MMM")</f>
        <v>Mar</v>
      </c>
      <c r="K181" s="14"/>
    </row>
    <row r="182" spans="1:11" ht="15" thickBot="1" x14ac:dyDescent="0.35">
      <c r="A182" s="3" t="s">
        <v>54</v>
      </c>
      <c r="B182" s="4" t="s">
        <v>61</v>
      </c>
      <c r="C182" s="4" t="s">
        <v>26</v>
      </c>
      <c r="D182" s="4" t="s">
        <v>14</v>
      </c>
      <c r="E182" s="4">
        <v>499.18</v>
      </c>
      <c r="F182" s="4">
        <v>15</v>
      </c>
      <c r="G182" s="4">
        <v>0.2</v>
      </c>
      <c r="H182" s="5">
        <v>45724</v>
      </c>
      <c r="I182" s="6">
        <v>159.74</v>
      </c>
      <c r="J182" s="4" t="str">
        <f>TEXT(Table1[[#This Row],[Order_Date]],"MMM")</f>
        <v>Mar</v>
      </c>
      <c r="K182" s="14"/>
    </row>
    <row r="183" spans="1:11" ht="15" thickBot="1" x14ac:dyDescent="0.35">
      <c r="A183" s="3" t="s">
        <v>39</v>
      </c>
      <c r="B183" s="4" t="s">
        <v>40</v>
      </c>
      <c r="C183" s="4" t="s">
        <v>22</v>
      </c>
      <c r="D183" s="4" t="s">
        <v>14</v>
      </c>
      <c r="E183" s="4">
        <v>1064.19</v>
      </c>
      <c r="F183" s="4">
        <v>18</v>
      </c>
      <c r="G183" s="4">
        <v>0.05</v>
      </c>
      <c r="H183" s="5">
        <v>45725</v>
      </c>
      <c r="I183" s="6">
        <v>404.39</v>
      </c>
      <c r="J183" s="4" t="str">
        <f>TEXT(Table1[[#This Row],[Order_Date]],"MMM")</f>
        <v>Mar</v>
      </c>
      <c r="K183" s="14"/>
    </row>
    <row r="184" spans="1:11" ht="15" thickBot="1" x14ac:dyDescent="0.35">
      <c r="A184" s="3" t="s">
        <v>69</v>
      </c>
      <c r="B184" s="4" t="s">
        <v>40</v>
      </c>
      <c r="C184" s="4" t="s">
        <v>20</v>
      </c>
      <c r="D184" s="4" t="s">
        <v>41</v>
      </c>
      <c r="E184" s="4">
        <v>438.76</v>
      </c>
      <c r="F184" s="4">
        <v>18</v>
      </c>
      <c r="G184" s="4">
        <v>0.05</v>
      </c>
      <c r="H184" s="5">
        <v>45726</v>
      </c>
      <c r="I184" s="6">
        <v>187.57</v>
      </c>
      <c r="J184" s="4" t="str">
        <f>TEXT(Table1[[#This Row],[Order_Date]],"MMM")</f>
        <v>Mar</v>
      </c>
      <c r="K184" s="14"/>
    </row>
    <row r="185" spans="1:11" ht="15" thickBot="1" x14ac:dyDescent="0.35">
      <c r="A185" s="3" t="s">
        <v>43</v>
      </c>
      <c r="B185" s="4" t="s">
        <v>57</v>
      </c>
      <c r="C185" s="4" t="s">
        <v>13</v>
      </c>
      <c r="D185" s="4" t="s">
        <v>17</v>
      </c>
      <c r="E185" s="4">
        <v>864.98</v>
      </c>
      <c r="F185" s="4">
        <v>2</v>
      </c>
      <c r="G185" s="4">
        <v>0.05</v>
      </c>
      <c r="H185" s="5">
        <v>45727</v>
      </c>
      <c r="I185" s="6">
        <v>410.87</v>
      </c>
      <c r="J185" s="4" t="str">
        <f>TEXT(Table1[[#This Row],[Order_Date]],"MMM")</f>
        <v>Mar</v>
      </c>
      <c r="K185" s="14"/>
    </row>
    <row r="186" spans="1:11" ht="15" thickBot="1" x14ac:dyDescent="0.35">
      <c r="A186" s="3" t="s">
        <v>59</v>
      </c>
      <c r="B186" s="4" t="s">
        <v>57</v>
      </c>
      <c r="C186" s="4" t="s">
        <v>13</v>
      </c>
      <c r="D186" s="4" t="s">
        <v>29</v>
      </c>
      <c r="E186" s="4">
        <v>984.93</v>
      </c>
      <c r="F186" s="4">
        <v>14</v>
      </c>
      <c r="G186" s="4">
        <v>0.2</v>
      </c>
      <c r="H186" s="5">
        <v>45733</v>
      </c>
      <c r="I186" s="6">
        <v>275.77999999999997</v>
      </c>
      <c r="J186" s="4" t="str">
        <f>TEXT(Table1[[#This Row],[Order_Date]],"MMM")</f>
        <v>Mar</v>
      </c>
      <c r="K186" s="14"/>
    </row>
    <row r="187" spans="1:11" ht="15" thickBot="1" x14ac:dyDescent="0.35">
      <c r="A187" s="3" t="s">
        <v>27</v>
      </c>
      <c r="B187" s="4" t="s">
        <v>57</v>
      </c>
      <c r="C187" s="4" t="s">
        <v>13</v>
      </c>
      <c r="D187" s="4" t="s">
        <v>17</v>
      </c>
      <c r="E187" s="4">
        <v>1493.49</v>
      </c>
      <c r="F187" s="4">
        <v>18</v>
      </c>
      <c r="G187" s="4">
        <v>0</v>
      </c>
      <c r="H187" s="5">
        <v>45734</v>
      </c>
      <c r="I187" s="6">
        <v>746.74</v>
      </c>
      <c r="J187" s="4" t="str">
        <f>TEXT(Table1[[#This Row],[Order_Date]],"MMM")</f>
        <v>Mar</v>
      </c>
      <c r="K187" s="14"/>
    </row>
    <row r="188" spans="1:11" ht="15" thickBot="1" x14ac:dyDescent="0.35">
      <c r="A188" s="3" t="s">
        <v>34</v>
      </c>
      <c r="B188" s="4" t="s">
        <v>55</v>
      </c>
      <c r="C188" s="4" t="s">
        <v>22</v>
      </c>
      <c r="D188" s="4" t="s">
        <v>17</v>
      </c>
      <c r="E188" s="4">
        <v>689.43</v>
      </c>
      <c r="F188" s="4">
        <v>9</v>
      </c>
      <c r="G188" s="4">
        <v>0.1</v>
      </c>
      <c r="H188" s="5">
        <v>45736</v>
      </c>
      <c r="I188" s="6">
        <v>310.24</v>
      </c>
      <c r="J188" s="4" t="str">
        <f>TEXT(Table1[[#This Row],[Order_Date]],"MMM")</f>
        <v>Mar</v>
      </c>
      <c r="K188" s="14"/>
    </row>
    <row r="189" spans="1:11" ht="15" thickBot="1" x14ac:dyDescent="0.35">
      <c r="A189" s="3" t="s">
        <v>42</v>
      </c>
      <c r="B189" s="4" t="s">
        <v>61</v>
      </c>
      <c r="C189" s="4" t="s">
        <v>22</v>
      </c>
      <c r="D189" s="4" t="s">
        <v>17</v>
      </c>
      <c r="E189" s="4">
        <v>682.24</v>
      </c>
      <c r="F189" s="4">
        <v>1</v>
      </c>
      <c r="G189" s="4">
        <v>0</v>
      </c>
      <c r="H189" s="5">
        <v>45738</v>
      </c>
      <c r="I189" s="6">
        <v>341.12</v>
      </c>
      <c r="J189" s="4" t="str">
        <f>TEXT(Table1[[#This Row],[Order_Date]],"MMM")</f>
        <v>Mar</v>
      </c>
      <c r="K189" s="14"/>
    </row>
    <row r="190" spans="1:11" ht="15" thickBot="1" x14ac:dyDescent="0.35">
      <c r="A190" s="3" t="s">
        <v>43</v>
      </c>
      <c r="B190" s="4" t="s">
        <v>28</v>
      </c>
      <c r="C190" s="4" t="s">
        <v>26</v>
      </c>
      <c r="D190" s="4" t="s">
        <v>23</v>
      </c>
      <c r="E190" s="4">
        <v>458.54</v>
      </c>
      <c r="F190" s="4">
        <v>15</v>
      </c>
      <c r="G190" s="4">
        <v>0.2</v>
      </c>
      <c r="H190" s="5">
        <v>45741</v>
      </c>
      <c r="I190" s="6">
        <v>91.71</v>
      </c>
      <c r="J190" s="4" t="str">
        <f>TEXT(Table1[[#This Row],[Order_Date]],"MMM")</f>
        <v>Mar</v>
      </c>
      <c r="K190" s="14"/>
    </row>
    <row r="191" spans="1:11" ht="15" thickBot="1" x14ac:dyDescent="0.35">
      <c r="A191" s="3" t="s">
        <v>34</v>
      </c>
      <c r="B191" s="4" t="s">
        <v>28</v>
      </c>
      <c r="C191" s="4" t="s">
        <v>22</v>
      </c>
      <c r="D191" s="4" t="s">
        <v>29</v>
      </c>
      <c r="E191" s="4">
        <v>1184.25</v>
      </c>
      <c r="F191" s="4">
        <v>11</v>
      </c>
      <c r="G191" s="4">
        <v>0.2</v>
      </c>
      <c r="H191" s="5">
        <v>45742</v>
      </c>
      <c r="I191" s="6">
        <v>331.59</v>
      </c>
      <c r="J191" s="4" t="str">
        <f>TEXT(Table1[[#This Row],[Order_Date]],"MMM")</f>
        <v>Mar</v>
      </c>
      <c r="K191" s="14"/>
    </row>
    <row r="192" spans="1:11" ht="15" thickBot="1" x14ac:dyDescent="0.35">
      <c r="A192" s="3" t="s">
        <v>27</v>
      </c>
      <c r="B192" s="4" t="s">
        <v>12</v>
      </c>
      <c r="C192" s="4" t="s">
        <v>22</v>
      </c>
      <c r="D192" s="4" t="s">
        <v>17</v>
      </c>
      <c r="E192" s="4">
        <v>762.14</v>
      </c>
      <c r="F192" s="4">
        <v>9</v>
      </c>
      <c r="G192" s="4">
        <v>0</v>
      </c>
      <c r="H192" s="5">
        <v>45743</v>
      </c>
      <c r="I192" s="6">
        <v>381.07</v>
      </c>
      <c r="J192" s="4" t="str">
        <f>TEXT(Table1[[#This Row],[Order_Date]],"MMM")</f>
        <v>Mar</v>
      </c>
      <c r="K192" s="14"/>
    </row>
    <row r="193" spans="1:11" ht="15" thickBot="1" x14ac:dyDescent="0.35">
      <c r="A193" s="3" t="s">
        <v>24</v>
      </c>
      <c r="B193" s="4" t="s">
        <v>55</v>
      </c>
      <c r="C193" s="4" t="s">
        <v>26</v>
      </c>
      <c r="D193" s="4" t="s">
        <v>14</v>
      </c>
      <c r="E193" s="4">
        <v>750.71</v>
      </c>
      <c r="F193" s="4">
        <v>10</v>
      </c>
      <c r="G193" s="4">
        <v>0.15</v>
      </c>
      <c r="H193" s="5">
        <v>45743</v>
      </c>
      <c r="I193" s="6">
        <v>255.24</v>
      </c>
      <c r="J193" s="4" t="str">
        <f>TEXT(Table1[[#This Row],[Order_Date]],"MMM")</f>
        <v>Mar</v>
      </c>
      <c r="K193" s="14"/>
    </row>
    <row r="194" spans="1:11" ht="15" thickBot="1" x14ac:dyDescent="0.35">
      <c r="A194" s="3" t="s">
        <v>77</v>
      </c>
      <c r="B194" s="4" t="s">
        <v>73</v>
      </c>
      <c r="C194" s="4" t="s">
        <v>36</v>
      </c>
      <c r="D194" s="4" t="s">
        <v>17</v>
      </c>
      <c r="E194" s="4">
        <v>1456.94</v>
      </c>
      <c r="F194" s="4">
        <v>14</v>
      </c>
      <c r="G194" s="4">
        <v>0.05</v>
      </c>
      <c r="H194" s="5">
        <v>45745</v>
      </c>
      <c r="I194" s="6">
        <v>692.05</v>
      </c>
      <c r="J194" s="4" t="str">
        <f>TEXT(Table1[[#This Row],[Order_Date]],"MMM")</f>
        <v>Mar</v>
      </c>
      <c r="K194" s="14"/>
    </row>
    <row r="195" spans="1:11" ht="15" thickBot="1" x14ac:dyDescent="0.35">
      <c r="A195" s="3" t="s">
        <v>46</v>
      </c>
      <c r="B195" s="4" t="s">
        <v>63</v>
      </c>
      <c r="C195" s="4" t="s">
        <v>20</v>
      </c>
      <c r="D195" s="4" t="s">
        <v>29</v>
      </c>
      <c r="E195" s="4">
        <v>1093.3800000000001</v>
      </c>
      <c r="F195" s="4">
        <v>17</v>
      </c>
      <c r="G195" s="4">
        <v>0.1</v>
      </c>
      <c r="H195" s="5">
        <v>45745</v>
      </c>
      <c r="I195" s="6">
        <v>344.41</v>
      </c>
      <c r="J195" s="4" t="str">
        <f>TEXT(Table1[[#This Row],[Order_Date]],"MMM")</f>
        <v>Mar</v>
      </c>
      <c r="K195" s="14"/>
    </row>
    <row r="196" spans="1:11" ht="15" thickBot="1" x14ac:dyDescent="0.35">
      <c r="A196" s="3" t="s">
        <v>39</v>
      </c>
      <c r="B196" s="4" t="s">
        <v>45</v>
      </c>
      <c r="C196" s="4" t="s">
        <v>13</v>
      </c>
      <c r="D196" s="4" t="s">
        <v>17</v>
      </c>
      <c r="E196" s="4">
        <v>934.27</v>
      </c>
      <c r="F196" s="4">
        <v>8</v>
      </c>
      <c r="G196" s="4">
        <v>0.15</v>
      </c>
      <c r="H196" s="5">
        <v>45746</v>
      </c>
      <c r="I196" s="6">
        <v>397.06</v>
      </c>
      <c r="J196" s="4" t="str">
        <f>TEXT(Table1[[#This Row],[Order_Date]],"MMM")</f>
        <v>Mar</v>
      </c>
      <c r="K196" s="14"/>
    </row>
    <row r="197" spans="1:11" ht="15" thickBot="1" x14ac:dyDescent="0.35">
      <c r="A197" s="3" t="s">
        <v>72</v>
      </c>
      <c r="B197" s="4" t="s">
        <v>38</v>
      </c>
      <c r="C197" s="4" t="s">
        <v>36</v>
      </c>
      <c r="D197" s="4" t="s">
        <v>17</v>
      </c>
      <c r="E197" s="4">
        <v>1465.35</v>
      </c>
      <c r="F197" s="4">
        <v>8</v>
      </c>
      <c r="G197" s="4">
        <v>0.2</v>
      </c>
      <c r="H197" s="5">
        <v>45746</v>
      </c>
      <c r="I197" s="6">
        <v>586.14</v>
      </c>
      <c r="J197" s="4" t="str">
        <f>TEXT(Table1[[#This Row],[Order_Date]],"MMM")</f>
        <v>Mar</v>
      </c>
      <c r="K197" s="14"/>
    </row>
    <row r="198" spans="1:11" ht="15" thickBot="1" x14ac:dyDescent="0.35">
      <c r="A198" s="3" t="s">
        <v>54</v>
      </c>
      <c r="B198" s="4" t="s">
        <v>16</v>
      </c>
      <c r="C198" s="4" t="s">
        <v>22</v>
      </c>
      <c r="D198" s="4" t="s">
        <v>41</v>
      </c>
      <c r="E198" s="4">
        <v>740.8</v>
      </c>
      <c r="F198" s="4">
        <v>3</v>
      </c>
      <c r="G198" s="4">
        <v>0</v>
      </c>
      <c r="H198" s="5">
        <v>45749</v>
      </c>
      <c r="I198" s="6">
        <v>333.36</v>
      </c>
      <c r="J198" s="4" t="str">
        <f>TEXT(Table1[[#This Row],[Order_Date]],"MMM")</f>
        <v>Apr</v>
      </c>
      <c r="K198" s="14"/>
    </row>
    <row r="199" spans="1:11" ht="15" thickBot="1" x14ac:dyDescent="0.35">
      <c r="A199" s="3" t="s">
        <v>60</v>
      </c>
      <c r="B199" s="4" t="s">
        <v>45</v>
      </c>
      <c r="C199" s="4" t="s">
        <v>13</v>
      </c>
      <c r="D199" s="4" t="s">
        <v>41</v>
      </c>
      <c r="E199" s="4">
        <v>545.44000000000005</v>
      </c>
      <c r="F199" s="4">
        <v>17</v>
      </c>
      <c r="G199" s="4">
        <v>0</v>
      </c>
      <c r="H199" s="5">
        <v>45752</v>
      </c>
      <c r="I199" s="6">
        <v>245.45</v>
      </c>
      <c r="J199" s="4" t="str">
        <f>TEXT(Table1[[#This Row],[Order_Date]],"MMM")</f>
        <v>Apr</v>
      </c>
      <c r="K199" s="14"/>
    </row>
    <row r="200" spans="1:11" ht="15" thickBot="1" x14ac:dyDescent="0.35">
      <c r="A200" s="3" t="s">
        <v>37</v>
      </c>
      <c r="B200" s="4" t="s">
        <v>38</v>
      </c>
      <c r="C200" s="4" t="s">
        <v>20</v>
      </c>
      <c r="D200" s="4" t="s">
        <v>14</v>
      </c>
      <c r="E200" s="4">
        <v>997.61</v>
      </c>
      <c r="F200" s="4">
        <v>8</v>
      </c>
      <c r="G200" s="4">
        <v>0.05</v>
      </c>
      <c r="H200" s="5">
        <v>45752</v>
      </c>
      <c r="I200" s="6">
        <v>379.09</v>
      </c>
      <c r="J200" s="4" t="str">
        <f>TEXT(Table1[[#This Row],[Order_Date]],"MMM")</f>
        <v>Apr</v>
      </c>
      <c r="K200" s="14"/>
    </row>
    <row r="201" spans="1:11" x14ac:dyDescent="0.3">
      <c r="A201" s="7" t="s">
        <v>62</v>
      </c>
      <c r="B201" s="8" t="s">
        <v>38</v>
      </c>
      <c r="C201" s="8" t="s">
        <v>22</v>
      </c>
      <c r="D201" s="8" t="s">
        <v>17</v>
      </c>
      <c r="E201" s="8">
        <v>928.32</v>
      </c>
      <c r="F201" s="8">
        <v>2</v>
      </c>
      <c r="G201" s="8">
        <v>0.05</v>
      </c>
      <c r="H201" s="9">
        <v>45754</v>
      </c>
      <c r="I201" s="10">
        <v>440.95</v>
      </c>
      <c r="J201" s="8" t="str">
        <f>TEXT(Table1[[#This Row],[Order_Date]],"MMM")</f>
        <v>Apr</v>
      </c>
      <c r="K201" s="1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EAD5-1DAE-4194-8B30-EC2FA64BD5CA}">
  <dimension ref="A3:B34"/>
  <sheetViews>
    <sheetView topLeftCell="A9" workbookViewId="0">
      <selection activeCell="A3" sqref="A3"/>
    </sheetView>
  </sheetViews>
  <sheetFormatPr defaultRowHeight="14.4" x14ac:dyDescent="0.3"/>
  <cols>
    <col min="1" max="1" width="14.109375" bestFit="1" customWidth="1"/>
    <col min="2" max="2" width="14.88671875" bestFit="1" customWidth="1"/>
    <col min="3" max="3" width="18.6640625" bestFit="1" customWidth="1"/>
  </cols>
  <sheetData>
    <row r="3" spans="1:2" x14ac:dyDescent="0.3">
      <c r="A3" s="12" t="s">
        <v>2</v>
      </c>
      <c r="B3" t="s">
        <v>81</v>
      </c>
    </row>
    <row r="4" spans="1:2" x14ac:dyDescent="0.3">
      <c r="A4" t="s">
        <v>30</v>
      </c>
      <c r="B4">
        <v>72</v>
      </c>
    </row>
    <row r="5" spans="1:2" x14ac:dyDescent="0.3">
      <c r="A5" t="s">
        <v>67</v>
      </c>
      <c r="B5">
        <v>83</v>
      </c>
    </row>
    <row r="6" spans="1:2" x14ac:dyDescent="0.3">
      <c r="A6" t="s">
        <v>69</v>
      </c>
      <c r="B6">
        <v>116</v>
      </c>
    </row>
    <row r="7" spans="1:2" x14ac:dyDescent="0.3">
      <c r="A7" t="s">
        <v>74</v>
      </c>
      <c r="B7">
        <v>81</v>
      </c>
    </row>
    <row r="8" spans="1:2" x14ac:dyDescent="0.3">
      <c r="A8" t="s">
        <v>21</v>
      </c>
      <c r="B8">
        <v>53</v>
      </c>
    </row>
    <row r="9" spans="1:2" x14ac:dyDescent="0.3">
      <c r="A9" t="s">
        <v>48</v>
      </c>
      <c r="B9">
        <v>14</v>
      </c>
    </row>
    <row r="10" spans="1:2" x14ac:dyDescent="0.3">
      <c r="A10" t="s">
        <v>27</v>
      </c>
      <c r="B10">
        <v>94</v>
      </c>
    </row>
    <row r="11" spans="1:2" x14ac:dyDescent="0.3">
      <c r="A11" t="s">
        <v>46</v>
      </c>
      <c r="B11">
        <v>102</v>
      </c>
    </row>
    <row r="12" spans="1:2" x14ac:dyDescent="0.3">
      <c r="A12" t="s">
        <v>34</v>
      </c>
      <c r="B12">
        <v>59</v>
      </c>
    </row>
    <row r="13" spans="1:2" x14ac:dyDescent="0.3">
      <c r="A13" t="s">
        <v>37</v>
      </c>
      <c r="B13">
        <v>55</v>
      </c>
    </row>
    <row r="14" spans="1:2" x14ac:dyDescent="0.3">
      <c r="A14" t="s">
        <v>65</v>
      </c>
      <c r="B14">
        <v>46</v>
      </c>
    </row>
    <row r="15" spans="1:2" x14ac:dyDescent="0.3">
      <c r="A15" t="s">
        <v>15</v>
      </c>
      <c r="B15">
        <v>86</v>
      </c>
    </row>
    <row r="16" spans="1:2" x14ac:dyDescent="0.3">
      <c r="A16" t="s">
        <v>75</v>
      </c>
      <c r="B16">
        <v>26</v>
      </c>
    </row>
    <row r="17" spans="1:2" x14ac:dyDescent="0.3">
      <c r="A17" t="s">
        <v>39</v>
      </c>
      <c r="B17">
        <v>62</v>
      </c>
    </row>
    <row r="18" spans="1:2" x14ac:dyDescent="0.3">
      <c r="A18" t="s">
        <v>60</v>
      </c>
      <c r="B18">
        <v>97</v>
      </c>
    </row>
    <row r="19" spans="1:2" x14ac:dyDescent="0.3">
      <c r="A19" t="s">
        <v>62</v>
      </c>
      <c r="B19">
        <v>34</v>
      </c>
    </row>
    <row r="20" spans="1:2" x14ac:dyDescent="0.3">
      <c r="A20" t="s">
        <v>18</v>
      </c>
      <c r="B20">
        <v>37</v>
      </c>
    </row>
    <row r="21" spans="1:2" x14ac:dyDescent="0.3">
      <c r="A21" t="s">
        <v>77</v>
      </c>
      <c r="B21">
        <v>46</v>
      </c>
    </row>
    <row r="22" spans="1:2" x14ac:dyDescent="0.3">
      <c r="A22" t="s">
        <v>11</v>
      </c>
      <c r="B22">
        <v>43</v>
      </c>
    </row>
    <row r="23" spans="1:2" x14ac:dyDescent="0.3">
      <c r="A23" t="s">
        <v>70</v>
      </c>
      <c r="B23">
        <v>47</v>
      </c>
    </row>
    <row r="24" spans="1:2" x14ac:dyDescent="0.3">
      <c r="A24" t="s">
        <v>59</v>
      </c>
      <c r="B24">
        <v>100</v>
      </c>
    </row>
    <row r="25" spans="1:2" x14ac:dyDescent="0.3">
      <c r="A25" t="s">
        <v>51</v>
      </c>
      <c r="B25">
        <v>78</v>
      </c>
    </row>
    <row r="26" spans="1:2" x14ac:dyDescent="0.3">
      <c r="A26" t="s">
        <v>42</v>
      </c>
      <c r="B26">
        <v>51</v>
      </c>
    </row>
    <row r="27" spans="1:2" x14ac:dyDescent="0.3">
      <c r="A27" t="s">
        <v>72</v>
      </c>
      <c r="B27">
        <v>76</v>
      </c>
    </row>
    <row r="28" spans="1:2" x14ac:dyDescent="0.3">
      <c r="A28" t="s">
        <v>56</v>
      </c>
      <c r="B28">
        <v>47</v>
      </c>
    </row>
    <row r="29" spans="1:2" x14ac:dyDescent="0.3">
      <c r="A29" t="s">
        <v>32</v>
      </c>
      <c r="B29">
        <v>75</v>
      </c>
    </row>
    <row r="30" spans="1:2" x14ac:dyDescent="0.3">
      <c r="A30" t="s">
        <v>76</v>
      </c>
      <c r="B30">
        <v>76</v>
      </c>
    </row>
    <row r="31" spans="1:2" x14ac:dyDescent="0.3">
      <c r="A31" t="s">
        <v>54</v>
      </c>
      <c r="B31">
        <v>101</v>
      </c>
    </row>
    <row r="32" spans="1:2" x14ac:dyDescent="0.3">
      <c r="A32" t="s">
        <v>43</v>
      </c>
      <c r="B32">
        <v>49</v>
      </c>
    </row>
    <row r="33" spans="1:2" x14ac:dyDescent="0.3">
      <c r="A33" t="s">
        <v>24</v>
      </c>
      <c r="B33">
        <v>93</v>
      </c>
    </row>
    <row r="34" spans="1:2" x14ac:dyDescent="0.3">
      <c r="A34" t="s">
        <v>80</v>
      </c>
      <c r="B34">
        <v>1999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E114C-5CAF-4DC0-A30C-ED05B277DD7E}">
  <dimension ref="A3:B16"/>
  <sheetViews>
    <sheetView workbookViewId="0">
      <selection activeCell="A3" sqref="A3:B16"/>
    </sheetView>
  </sheetViews>
  <sheetFormatPr defaultRowHeight="14.4" x14ac:dyDescent="0.3"/>
  <cols>
    <col min="1" max="1" width="12.5546875" bestFit="1" customWidth="1"/>
    <col min="2" max="2" width="11.6640625" bestFit="1" customWidth="1"/>
    <col min="3" max="3" width="18.6640625" bestFit="1" customWidth="1"/>
  </cols>
  <sheetData>
    <row r="3" spans="1:2" x14ac:dyDescent="0.3">
      <c r="A3" s="12" t="s">
        <v>79</v>
      </c>
      <c r="B3" t="s">
        <v>83</v>
      </c>
    </row>
    <row r="4" spans="1:2" x14ac:dyDescent="0.3">
      <c r="A4" s="13" t="s">
        <v>85</v>
      </c>
      <c r="B4">
        <v>14914.650000000001</v>
      </c>
    </row>
    <row r="5" spans="1:2" x14ac:dyDescent="0.3">
      <c r="A5" s="13" t="s">
        <v>86</v>
      </c>
      <c r="B5">
        <v>14006.359999999999</v>
      </c>
    </row>
    <row r="6" spans="1:2" x14ac:dyDescent="0.3">
      <c r="A6" s="13" t="s">
        <v>84</v>
      </c>
      <c r="B6">
        <v>17655.219999999998</v>
      </c>
    </row>
    <row r="7" spans="1:2" x14ac:dyDescent="0.3">
      <c r="A7" s="13" t="s">
        <v>87</v>
      </c>
      <c r="B7">
        <v>22242.129999999997</v>
      </c>
    </row>
    <row r="8" spans="1:2" x14ac:dyDescent="0.3">
      <c r="A8" s="13" t="s">
        <v>88</v>
      </c>
      <c r="B8">
        <v>18507.339999999997</v>
      </c>
    </row>
    <row r="9" spans="1:2" x14ac:dyDescent="0.3">
      <c r="A9" s="13" t="s">
        <v>89</v>
      </c>
      <c r="B9">
        <v>20187.509999999998</v>
      </c>
    </row>
    <row r="10" spans="1:2" x14ac:dyDescent="0.3">
      <c r="A10" s="13" t="s">
        <v>90</v>
      </c>
      <c r="B10">
        <v>11609.039999999999</v>
      </c>
    </row>
    <row r="11" spans="1:2" x14ac:dyDescent="0.3">
      <c r="A11" s="13" t="s">
        <v>91</v>
      </c>
      <c r="B11">
        <v>10091.699999999999</v>
      </c>
    </row>
    <row r="12" spans="1:2" x14ac:dyDescent="0.3">
      <c r="A12" s="13" t="s">
        <v>92</v>
      </c>
      <c r="B12">
        <v>20533.499999999996</v>
      </c>
    </row>
    <row r="13" spans="1:2" x14ac:dyDescent="0.3">
      <c r="A13" s="13" t="s">
        <v>93</v>
      </c>
      <c r="B13">
        <v>14215.240000000002</v>
      </c>
    </row>
    <row r="14" spans="1:2" x14ac:dyDescent="0.3">
      <c r="A14" s="13" t="s">
        <v>94</v>
      </c>
      <c r="B14">
        <v>20135.030000000002</v>
      </c>
    </row>
    <row r="15" spans="1:2" x14ac:dyDescent="0.3">
      <c r="A15" s="13" t="s">
        <v>95</v>
      </c>
      <c r="B15">
        <v>11120.04</v>
      </c>
    </row>
    <row r="16" spans="1:2" x14ac:dyDescent="0.3">
      <c r="A16" s="13" t="s">
        <v>80</v>
      </c>
      <c r="B16">
        <v>195217.75999999995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10A6-FEC3-41F5-86A3-9D2FADFF677E}">
  <dimension ref="A3:B9"/>
  <sheetViews>
    <sheetView zoomScale="78" workbookViewId="0">
      <selection activeCell="A3" sqref="A3:B9"/>
    </sheetView>
  </sheetViews>
  <sheetFormatPr defaultRowHeight="14.4" x14ac:dyDescent="0.3"/>
  <cols>
    <col min="1" max="1" width="13.21875" bestFit="1" customWidth="1"/>
    <col min="2" max="2" width="11.6640625" bestFit="1" customWidth="1"/>
    <col min="3" max="3" width="20.44140625" bestFit="1" customWidth="1"/>
  </cols>
  <sheetData>
    <row r="3" spans="1:2" x14ac:dyDescent="0.3">
      <c r="A3" s="12" t="s">
        <v>79</v>
      </c>
      <c r="B3" t="s">
        <v>83</v>
      </c>
    </row>
    <row r="4" spans="1:2" x14ac:dyDescent="0.3">
      <c r="A4" s="13" t="s">
        <v>14</v>
      </c>
      <c r="B4">
        <v>47002.460000000006</v>
      </c>
    </row>
    <row r="5" spans="1:2" x14ac:dyDescent="0.3">
      <c r="A5" s="13" t="s">
        <v>17</v>
      </c>
      <c r="B5">
        <v>41927.589999999989</v>
      </c>
    </row>
    <row r="6" spans="1:2" x14ac:dyDescent="0.3">
      <c r="A6" s="13" t="s">
        <v>23</v>
      </c>
      <c r="B6">
        <v>41044.000000000007</v>
      </c>
    </row>
    <row r="7" spans="1:2" x14ac:dyDescent="0.3">
      <c r="A7" s="13" t="s">
        <v>29</v>
      </c>
      <c r="B7">
        <v>36612.89</v>
      </c>
    </row>
    <row r="8" spans="1:2" x14ac:dyDescent="0.3">
      <c r="A8" s="13" t="s">
        <v>41</v>
      </c>
      <c r="B8">
        <v>28630.819999999992</v>
      </c>
    </row>
    <row r="9" spans="1:2" x14ac:dyDescent="0.3">
      <c r="A9" s="13" t="s">
        <v>80</v>
      </c>
      <c r="B9">
        <v>195217.76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09DFB-EB43-4C1B-8CE5-AE63C0FAB635}">
  <dimension ref="A3:B16"/>
  <sheetViews>
    <sheetView workbookViewId="0">
      <selection activeCell="B16" sqref="B16"/>
    </sheetView>
  </sheetViews>
  <sheetFormatPr defaultRowHeight="14.4" x14ac:dyDescent="0.3"/>
  <cols>
    <col min="1" max="1" width="12.5546875" bestFit="1" customWidth="1"/>
    <col min="2" max="2" width="12.109375" bestFit="1" customWidth="1"/>
  </cols>
  <sheetData>
    <row r="3" spans="1:2" x14ac:dyDescent="0.3">
      <c r="A3" s="12" t="s">
        <v>79</v>
      </c>
      <c r="B3" t="s">
        <v>96</v>
      </c>
    </row>
    <row r="4" spans="1:2" x14ac:dyDescent="0.3">
      <c r="A4" s="13" t="s">
        <v>85</v>
      </c>
      <c r="B4">
        <v>5763.4</v>
      </c>
    </row>
    <row r="5" spans="1:2" x14ac:dyDescent="0.3">
      <c r="A5" s="13" t="s">
        <v>86</v>
      </c>
      <c r="B5">
        <v>5039.2299999999996</v>
      </c>
    </row>
    <row r="6" spans="1:2" x14ac:dyDescent="0.3">
      <c r="A6" s="13" t="s">
        <v>84</v>
      </c>
      <c r="B6">
        <v>7071.39</v>
      </c>
    </row>
    <row r="7" spans="1:2" x14ac:dyDescent="0.3">
      <c r="A7" s="13" t="s">
        <v>87</v>
      </c>
      <c r="B7">
        <v>7642.86</v>
      </c>
    </row>
    <row r="8" spans="1:2" x14ac:dyDescent="0.3">
      <c r="A8" s="13" t="s">
        <v>88</v>
      </c>
      <c r="B8">
        <v>6121.3499999999995</v>
      </c>
    </row>
    <row r="9" spans="1:2" x14ac:dyDescent="0.3">
      <c r="A9" s="13" t="s">
        <v>89</v>
      </c>
      <c r="B9">
        <v>6918</v>
      </c>
    </row>
    <row r="10" spans="1:2" x14ac:dyDescent="0.3">
      <c r="A10" s="13" t="s">
        <v>90</v>
      </c>
      <c r="B10">
        <v>3743.85</v>
      </c>
    </row>
    <row r="11" spans="1:2" x14ac:dyDescent="0.3">
      <c r="A11" s="13" t="s">
        <v>91</v>
      </c>
      <c r="B11">
        <v>3302.84</v>
      </c>
    </row>
    <row r="12" spans="1:2" x14ac:dyDescent="0.3">
      <c r="A12" s="13" t="s">
        <v>92</v>
      </c>
      <c r="B12">
        <v>7457.5199999999995</v>
      </c>
    </row>
    <row r="13" spans="1:2" x14ac:dyDescent="0.3">
      <c r="A13" s="13" t="s">
        <v>93</v>
      </c>
      <c r="B13">
        <v>4861.7</v>
      </c>
    </row>
    <row r="14" spans="1:2" x14ac:dyDescent="0.3">
      <c r="A14" s="13" t="s">
        <v>94</v>
      </c>
      <c r="B14">
        <v>6814.8799999999992</v>
      </c>
    </row>
    <row r="15" spans="1:2" x14ac:dyDescent="0.3">
      <c r="A15" s="13" t="s">
        <v>95</v>
      </c>
      <c r="B15">
        <v>3549.99</v>
      </c>
    </row>
    <row r="16" spans="1:2" x14ac:dyDescent="0.3">
      <c r="A16" s="13" t="s">
        <v>80</v>
      </c>
      <c r="B16">
        <v>68287.009999999995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7553-521F-4C99-964A-1262D21D788F}">
  <dimension ref="A3:B9"/>
  <sheetViews>
    <sheetView workbookViewId="0">
      <selection activeCell="H22" sqref="H22"/>
    </sheetView>
  </sheetViews>
  <sheetFormatPr defaultRowHeight="14.4" x14ac:dyDescent="0.3"/>
  <cols>
    <col min="1" max="1" width="12.5546875" bestFit="1" customWidth="1"/>
    <col min="2" max="2" width="11.6640625" bestFit="1" customWidth="1"/>
  </cols>
  <sheetData>
    <row r="3" spans="1:2" x14ac:dyDescent="0.3">
      <c r="A3" s="12" t="s">
        <v>79</v>
      </c>
      <c r="B3" t="s">
        <v>83</v>
      </c>
    </row>
    <row r="4" spans="1:2" x14ac:dyDescent="0.3">
      <c r="A4" s="13" t="s">
        <v>36</v>
      </c>
      <c r="B4">
        <v>43468.33</v>
      </c>
    </row>
    <row r="5" spans="1:2" x14ac:dyDescent="0.3">
      <c r="A5" s="13" t="s">
        <v>20</v>
      </c>
      <c r="B5">
        <v>32441.64</v>
      </c>
    </row>
    <row r="6" spans="1:2" x14ac:dyDescent="0.3">
      <c r="A6" s="13" t="s">
        <v>26</v>
      </c>
      <c r="B6">
        <v>34975.42</v>
      </c>
    </row>
    <row r="7" spans="1:2" x14ac:dyDescent="0.3">
      <c r="A7" s="13" t="s">
        <v>22</v>
      </c>
      <c r="B7">
        <v>40248.79</v>
      </c>
    </row>
    <row r="8" spans="1:2" x14ac:dyDescent="0.3">
      <c r="A8" s="13" t="s">
        <v>13</v>
      </c>
      <c r="B8">
        <v>44083.58</v>
      </c>
    </row>
    <row r="9" spans="1:2" x14ac:dyDescent="0.3">
      <c r="A9" s="13" t="s">
        <v>80</v>
      </c>
      <c r="B9">
        <v>195217.76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A1AB-05E5-480E-AB14-38F4DF718503}">
  <dimension ref="A3:B9"/>
  <sheetViews>
    <sheetView workbookViewId="0">
      <selection activeCell="M22" sqref="M22"/>
    </sheetView>
  </sheetViews>
  <sheetFormatPr defaultRowHeight="14.4" x14ac:dyDescent="0.3"/>
  <cols>
    <col min="1" max="1" width="13.109375" bestFit="1" customWidth="1"/>
    <col min="2" max="3" width="14.88671875" bestFit="1" customWidth="1"/>
  </cols>
  <sheetData>
    <row r="3" spans="1:2" x14ac:dyDescent="0.3">
      <c r="A3" s="12" t="s">
        <v>79</v>
      </c>
      <c r="B3" t="s">
        <v>82</v>
      </c>
    </row>
    <row r="4" spans="1:2" x14ac:dyDescent="0.3">
      <c r="A4" s="13" t="s">
        <v>14</v>
      </c>
      <c r="B4">
        <v>5.1000000000000005</v>
      </c>
    </row>
    <row r="5" spans="1:2" x14ac:dyDescent="0.3">
      <c r="A5" s="13" t="s">
        <v>17</v>
      </c>
      <c r="B5">
        <v>4.05</v>
      </c>
    </row>
    <row r="6" spans="1:2" x14ac:dyDescent="0.3">
      <c r="A6" s="13" t="s">
        <v>23</v>
      </c>
      <c r="B6">
        <v>4.3000000000000007</v>
      </c>
    </row>
    <row r="7" spans="1:2" x14ac:dyDescent="0.3">
      <c r="A7" s="13" t="s">
        <v>29</v>
      </c>
      <c r="B7">
        <v>3.5</v>
      </c>
    </row>
    <row r="8" spans="1:2" x14ac:dyDescent="0.3">
      <c r="A8" s="13" t="s">
        <v>41</v>
      </c>
      <c r="B8">
        <v>2.5000000000000004</v>
      </c>
    </row>
    <row r="9" spans="1:2" x14ac:dyDescent="0.3">
      <c r="A9" s="13" t="s">
        <v>80</v>
      </c>
      <c r="B9">
        <v>19.450000000000003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F6491-D423-446D-8A77-A5336C8EAFB4}">
  <dimension ref="A3:B6"/>
  <sheetViews>
    <sheetView workbookViewId="0">
      <selection activeCell="P19" sqref="P19"/>
    </sheetView>
  </sheetViews>
  <sheetFormatPr defaultRowHeight="14.4" x14ac:dyDescent="0.3"/>
  <cols>
    <col min="1" max="1" width="12.5546875" bestFit="1" customWidth="1"/>
    <col min="2" max="2" width="11.6640625" bestFit="1" customWidth="1"/>
  </cols>
  <sheetData>
    <row r="3" spans="1:2" x14ac:dyDescent="0.3">
      <c r="A3" s="12" t="s">
        <v>79</v>
      </c>
      <c r="B3" t="s">
        <v>83</v>
      </c>
    </row>
    <row r="4" spans="1:2" x14ac:dyDescent="0.3">
      <c r="A4" s="13" t="s">
        <v>97</v>
      </c>
      <c r="B4">
        <v>145429.35999999999</v>
      </c>
    </row>
    <row r="5" spans="1:2" x14ac:dyDescent="0.3">
      <c r="A5" s="13" t="s">
        <v>98</v>
      </c>
      <c r="B5">
        <v>49788.4</v>
      </c>
    </row>
    <row r="6" spans="1:2" x14ac:dyDescent="0.3">
      <c r="A6" s="13" t="s">
        <v>80</v>
      </c>
      <c r="B6">
        <v>195217.75999999998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Sheet1</vt:lpstr>
      <vt:lpstr>Sheet2</vt:lpstr>
      <vt:lpstr>cust-id vs quantity</vt:lpstr>
      <vt:lpstr>month vs sales</vt:lpstr>
      <vt:lpstr>producr vs sales</vt:lpstr>
      <vt:lpstr>month vs profit</vt:lpstr>
      <vt:lpstr>region vs sales</vt:lpstr>
      <vt:lpstr>product vs discount</vt:lpstr>
      <vt:lpstr>date vs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 Soni</dc:creator>
  <cp:lastModifiedBy>Kushal Soni</cp:lastModifiedBy>
  <dcterms:created xsi:type="dcterms:W3CDTF">2026-02-19T12:37:26Z</dcterms:created>
  <dcterms:modified xsi:type="dcterms:W3CDTF">2026-02-26T11:20:32Z</dcterms:modified>
</cp:coreProperties>
</file>